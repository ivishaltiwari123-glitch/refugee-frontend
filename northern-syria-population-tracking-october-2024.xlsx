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https://acusy.sharepoint.com/sites/IMU/Archive/HDX/Population in North Syria/2024/"/>
    </mc:Choice>
  </mc:AlternateContent>
  <xr:revisionPtr revIDLastSave="473" documentId="13_ncr:1_{19D9953D-29AD-42C8-844E-5B0D17B4E3E1}" xr6:coauthVersionLast="47" xr6:coauthVersionMax="47" xr10:uidLastSave="{A5060E33-7B29-431C-A154-58A196257737}"/>
  <bookViews>
    <workbookView xWindow="-28920" yWindow="-120" windowWidth="29040" windowHeight="15840" tabRatio="430" xr2:uid="{774B8011-BCF0-4433-9DE6-D4CEA198B95F}"/>
  </bookViews>
  <sheets>
    <sheet name="info" sheetId="14" r:id="rId1"/>
    <sheet name="DB" sheetId="1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3" i="16" l="1"/>
  <c r="L83" i="16"/>
  <c r="K83" i="16"/>
  <c r="J83" i="16"/>
  <c r="I83" i="16"/>
  <c r="N83" i="16"/>
</calcChain>
</file>

<file path=xl/sharedStrings.xml><?xml version="1.0" encoding="utf-8"?>
<sst xmlns="http://schemas.openxmlformats.org/spreadsheetml/2006/main" count="493" uniqueCount="235">
  <si>
    <t>Assistance Coordination Unit - ACU Syria</t>
  </si>
  <si>
    <t>Information Management Unit - IMU</t>
  </si>
  <si>
    <t>About the data:</t>
  </si>
  <si>
    <t>Type</t>
  </si>
  <si>
    <t>Cleaned</t>
  </si>
  <si>
    <t>Timeline</t>
  </si>
  <si>
    <t>Database</t>
  </si>
  <si>
    <t>Sharing date</t>
  </si>
  <si>
    <t>#</t>
  </si>
  <si>
    <t>Governorate</t>
  </si>
  <si>
    <t>District</t>
  </si>
  <si>
    <t>Date of Data</t>
  </si>
  <si>
    <t>Data Collection Level</t>
  </si>
  <si>
    <t>IDPs Site and Community</t>
  </si>
  <si>
    <t>This study includes information on the population of all cities and communities outside the control of the Regime in Syria. The study is updated monthly, in that IMU enumerators of ACU track the population in all areas outside the control of the regime, along with movements of displacement and return on a permanent basis. This study also presents the total population, the total number of IDPs, the number of newly displaced people during the last month, the number of those who left, the number of returnees during the last month  . For more details, please contact us through IMU email address: imu@acu-sy.org
This product is funded by the CDCS-MEAE
Disclaimer: The content, designations, and presentation of material in this report do not necessarily reflect the views or policies of the ACU or contributory organizations/donors, nor does it imply any endorsement. Information is obtained from the ACU’s field network of enumerators by conducting Key Informant Interviews (KIIs) with sources believed to be reliable but are in no way guaranteed. No guarantee of any kind is implied or possible where projections of future conditions are attempted.</t>
  </si>
  <si>
    <t>admin1Pcode</t>
  </si>
  <si>
    <t>admin2Pcode</t>
  </si>
  <si>
    <t>admin3Pcode</t>
  </si>
  <si>
    <t>Sub-district</t>
  </si>
  <si>
    <t>Total Population</t>
  </si>
  <si>
    <t>IDPs In-Camps (IDPs site)</t>
  </si>
  <si>
    <t>Total Arrivals New IDPs (Last 30 days)</t>
  </si>
  <si>
    <t>Total Departures (Last 30 days)</t>
  </si>
  <si>
    <t>Total Returnees (Last 30 days)</t>
  </si>
  <si>
    <t>SY07</t>
  </si>
  <si>
    <t>SY0703</t>
  </si>
  <si>
    <t>SY070301</t>
  </si>
  <si>
    <t>SY11</t>
  </si>
  <si>
    <t>SY1101</t>
  </si>
  <si>
    <t>SY110100</t>
  </si>
  <si>
    <t>SY0700</t>
  </si>
  <si>
    <t>SY070005</t>
  </si>
  <si>
    <t>SY02</t>
  </si>
  <si>
    <t>SY0204</t>
  </si>
  <si>
    <t>SY020400</t>
  </si>
  <si>
    <t>SY0205</t>
  </si>
  <si>
    <t>SY020500</t>
  </si>
  <si>
    <t>SY070000</t>
  </si>
  <si>
    <t>SY08</t>
  </si>
  <si>
    <t>SY0802</t>
  </si>
  <si>
    <t>SY080200</t>
  </si>
  <si>
    <t>SY0203</t>
  </si>
  <si>
    <t>SY020300</t>
  </si>
  <si>
    <t>SY0800</t>
  </si>
  <si>
    <t>SY080000</t>
  </si>
  <si>
    <t>SY070302</t>
  </si>
  <si>
    <t>SY0202</t>
  </si>
  <si>
    <t>SY020200</t>
  </si>
  <si>
    <t>SY1103</t>
  </si>
  <si>
    <t>SY110300</t>
  </si>
  <si>
    <t>SY0200</t>
  </si>
  <si>
    <t>SY020001</t>
  </si>
  <si>
    <t>SY0208</t>
  </si>
  <si>
    <t>SY020800</t>
  </si>
  <si>
    <t>SY0705</t>
  </si>
  <si>
    <t>SY070500</t>
  </si>
  <si>
    <t>SY09</t>
  </si>
  <si>
    <t>SY0902</t>
  </si>
  <si>
    <t>SY090201</t>
  </si>
  <si>
    <t>SY070305</t>
  </si>
  <si>
    <t>SY0704</t>
  </si>
  <si>
    <t>SY070400</t>
  </si>
  <si>
    <t>SY0901</t>
  </si>
  <si>
    <t>SY090101</t>
  </si>
  <si>
    <t>SY020401</t>
  </si>
  <si>
    <t>SY020405</t>
  </si>
  <si>
    <t>SY020302</t>
  </si>
  <si>
    <t>SY070300</t>
  </si>
  <si>
    <t>SY070402</t>
  </si>
  <si>
    <t>SY0803</t>
  </si>
  <si>
    <t>SY080300</t>
  </si>
  <si>
    <t>SY070002</t>
  </si>
  <si>
    <t>SY110102</t>
  </si>
  <si>
    <t>SY0903</t>
  </si>
  <si>
    <t>SY090301</t>
  </si>
  <si>
    <t>SY0804</t>
  </si>
  <si>
    <t>SY080400</t>
  </si>
  <si>
    <t>SY070304</t>
  </si>
  <si>
    <t>SY020403</t>
  </si>
  <si>
    <t>SY020501</t>
  </si>
  <si>
    <t>SY070403</t>
  </si>
  <si>
    <t>SY020004</t>
  </si>
  <si>
    <t>SY070303</t>
  </si>
  <si>
    <t>SY070501</t>
  </si>
  <si>
    <t>SY090102</t>
  </si>
  <si>
    <t>SY110301</t>
  </si>
  <si>
    <t>SY070502</t>
  </si>
  <si>
    <t>SY090203</t>
  </si>
  <si>
    <t>SY080401</t>
  </si>
  <si>
    <t>SY0206</t>
  </si>
  <si>
    <t>SY020602</t>
  </si>
  <si>
    <t>SY090106</t>
  </si>
  <si>
    <t>SY020304</t>
  </si>
  <si>
    <t>SY080001</t>
  </si>
  <si>
    <t>SY1102</t>
  </si>
  <si>
    <t>SY110201</t>
  </si>
  <si>
    <t>SY020303</t>
  </si>
  <si>
    <t>SY020203</t>
  </si>
  <si>
    <t>SY070401</t>
  </si>
  <si>
    <t>SY110200</t>
  </si>
  <si>
    <t>SY080202</t>
  </si>
  <si>
    <t>SY020801</t>
  </si>
  <si>
    <t>SY080002</t>
  </si>
  <si>
    <t>SY080301</t>
  </si>
  <si>
    <t>SY020301</t>
  </si>
  <si>
    <t>SY080005</t>
  </si>
  <si>
    <t>SY080201</t>
  </si>
  <si>
    <t>SY080302</t>
  </si>
  <si>
    <t>SY020306</t>
  </si>
  <si>
    <t>SY070004</t>
  </si>
  <si>
    <t>SY080203</t>
  </si>
  <si>
    <t>SY080006</t>
  </si>
  <si>
    <t>SY080003</t>
  </si>
  <si>
    <t>SY020206</t>
  </si>
  <si>
    <t>SY070006</t>
  </si>
  <si>
    <t>SY110302</t>
  </si>
  <si>
    <t>SY020502</t>
  </si>
  <si>
    <t>SY090100</t>
  </si>
  <si>
    <t>SY020305</t>
  </si>
  <si>
    <t>SY110202</t>
  </si>
  <si>
    <t>SY020601</t>
  </si>
  <si>
    <t>SY020600</t>
  </si>
  <si>
    <t>SY080004</t>
  </si>
  <si>
    <t>SY090105</t>
  </si>
  <si>
    <t>SY110101</t>
  </si>
  <si>
    <t>SY020201</t>
  </si>
  <si>
    <t>SY0702</t>
  </si>
  <si>
    <t>SY070203</t>
  </si>
  <si>
    <t>Individuals at Sub-district level</t>
  </si>
  <si>
    <t>Population in Northern Syria</t>
  </si>
  <si>
    <t>About</t>
  </si>
  <si>
    <t xml:space="preserve">IDPs Off-Camps </t>
  </si>
  <si>
    <t>إدلب</t>
  </si>
  <si>
    <t>حارم</t>
  </si>
  <si>
    <t>دانا</t>
  </si>
  <si>
    <t>الرقة</t>
  </si>
  <si>
    <t>مركز الرقة</t>
  </si>
  <si>
    <t>مركز إدلب</t>
  </si>
  <si>
    <t>معرة تمصرين</t>
  </si>
  <si>
    <t>حلب</t>
  </si>
  <si>
    <t>منبج</t>
  </si>
  <si>
    <t>مركز منبج</t>
  </si>
  <si>
    <t>اعزاز</t>
  </si>
  <si>
    <t>مركز اعزاز</t>
  </si>
  <si>
    <t>الحسكة</t>
  </si>
  <si>
    <t>القامشلي</t>
  </si>
  <si>
    <t>مركز القامشلي</t>
  </si>
  <si>
    <t>عفرين</t>
  </si>
  <si>
    <t>مركز عفرين</t>
  </si>
  <si>
    <t>مركز الحسكة</t>
  </si>
  <si>
    <t>سلقين</t>
  </si>
  <si>
    <t>الباب</t>
  </si>
  <si>
    <t>مركز الباب</t>
  </si>
  <si>
    <t>الثورة</t>
  </si>
  <si>
    <t>مركز الثورة</t>
  </si>
  <si>
    <t>جبل سمعان</t>
  </si>
  <si>
    <t>أتارب</t>
  </si>
  <si>
    <t>جرابلس</t>
  </si>
  <si>
    <t>مركز جرابلس</t>
  </si>
  <si>
    <t>أريحا</t>
  </si>
  <si>
    <t>مركز أريحا</t>
  </si>
  <si>
    <t>دير الزور</t>
  </si>
  <si>
    <t>البوكمال</t>
  </si>
  <si>
    <t>هجين</t>
  </si>
  <si>
    <t>أرمناز</t>
  </si>
  <si>
    <t>جسر الشغور</t>
  </si>
  <si>
    <t>مركز جسر الشغور</t>
  </si>
  <si>
    <t>مركز دير الزور</t>
  </si>
  <si>
    <t>كسرة</t>
  </si>
  <si>
    <t>اخترين</t>
  </si>
  <si>
    <t>صوران</t>
  </si>
  <si>
    <t>جنديرس</t>
  </si>
  <si>
    <t>مركز حارم</t>
  </si>
  <si>
    <t>دركوش</t>
  </si>
  <si>
    <t>المالكية</t>
  </si>
  <si>
    <t>مركز المالكية</t>
  </si>
  <si>
    <t>بنش</t>
  </si>
  <si>
    <t>الكرامة</t>
  </si>
  <si>
    <t>الميادين</t>
  </si>
  <si>
    <t>ذيبان</t>
  </si>
  <si>
    <t>رأس العين</t>
  </si>
  <si>
    <t>مركز رأس العين</t>
  </si>
  <si>
    <t>قورقينا</t>
  </si>
  <si>
    <t>مارع</t>
  </si>
  <si>
    <t>أبو قلقل</t>
  </si>
  <si>
    <t>الجانودية</t>
  </si>
  <si>
    <t>كفر تخاريم</t>
  </si>
  <si>
    <t>دارة عزة</t>
  </si>
  <si>
    <t>احسم</t>
  </si>
  <si>
    <t>بصيرة</t>
  </si>
  <si>
    <t>المنصورة</t>
  </si>
  <si>
    <t>عين العرب</t>
  </si>
  <si>
    <t>صرين</t>
  </si>
  <si>
    <t>محمبل</t>
  </si>
  <si>
    <t>سوسة</t>
  </si>
  <si>
    <t>درباسية</t>
  </si>
  <si>
    <t>صور</t>
  </si>
  <si>
    <t>شران</t>
  </si>
  <si>
    <t>تل تمر</t>
  </si>
  <si>
    <t>تل أبيض</t>
  </si>
  <si>
    <t>سلوك</t>
  </si>
  <si>
    <t>راجو</t>
  </si>
  <si>
    <t>الراعي</t>
  </si>
  <si>
    <t>شدادة</t>
  </si>
  <si>
    <t>بداما</t>
  </si>
  <si>
    <t>مركز تل أبيض</t>
  </si>
  <si>
    <t>عامودا</t>
  </si>
  <si>
    <t>غندورة</t>
  </si>
  <si>
    <t>جوادية</t>
  </si>
  <si>
    <t>الجرنية</t>
  </si>
  <si>
    <t>بلبل</t>
  </si>
  <si>
    <t>العريشة</t>
  </si>
  <si>
    <t>تل حميس</t>
  </si>
  <si>
    <t>يعربية</t>
  </si>
  <si>
    <t>معبطلي</t>
  </si>
  <si>
    <t>تفتناز</t>
  </si>
  <si>
    <t>قحطانية</t>
  </si>
  <si>
    <t>الهول</t>
  </si>
  <si>
    <t>مركدة</t>
  </si>
  <si>
    <t>عريمة</t>
  </si>
  <si>
    <t>سرمين</t>
  </si>
  <si>
    <t>الخفسة</t>
  </si>
  <si>
    <t>شيخ الحديد</t>
  </si>
  <si>
    <t>عين عيسى</t>
  </si>
  <si>
    <t>شيوخ تحتاني</t>
  </si>
  <si>
    <t>مركز عين العرب</t>
  </si>
  <si>
    <t>بئر الحلو الوردية</t>
  </si>
  <si>
    <t>خشام</t>
  </si>
  <si>
    <t>السبخة</t>
  </si>
  <si>
    <t>تادف</t>
  </si>
  <si>
    <t>معرة النعمان</t>
  </si>
  <si>
    <t>كفر نبل</t>
  </si>
  <si>
    <t>Total</t>
  </si>
  <si>
    <t>Population in Northern Syria October - 2024</t>
  </si>
  <si>
    <t>2024 - 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</si>
</sst>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yy;@"/>
  </numFmts>
  <fonts count="20" x14ac:knownFonts="1">
    <font>
      <sz val="11"/>
      <color theme="1"/>
      <name val="Calibri"/>
      <family val="2"/>
      <scheme val="minor"/>
    </font>
    <font>
      <sz val="11"/>
      <color theme="1"/>
      <name val="Calibri"/>
      <family val="2"/>
      <scheme val="minor"/>
    </font>
    <font>
      <sz val="11"/>
      <color theme="0"/>
      <name val="Calibri"/>
      <family val="2"/>
      <scheme val="minor"/>
    </font>
    <font>
      <sz val="10"/>
      <color theme="1"/>
      <name val="Segoe UI"/>
      <family val="2"/>
    </font>
    <font>
      <sz val="11"/>
      <color theme="1"/>
      <name val="Segoe UI"/>
      <family val="2"/>
    </font>
    <font>
      <u/>
      <sz val="11"/>
      <color theme="10"/>
      <name val="Calibri"/>
      <family val="2"/>
      <scheme val="minor"/>
    </font>
    <font>
      <b/>
      <sz val="28"/>
      <color theme="6"/>
      <name val="Segoe UI"/>
      <family val="2"/>
    </font>
    <font>
      <b/>
      <sz val="16"/>
      <color theme="1"/>
      <name val="Segoe UI"/>
      <family val="2"/>
    </font>
    <font>
      <b/>
      <sz val="18"/>
      <color theme="1"/>
      <name val="Segoe UI"/>
      <family val="2"/>
    </font>
    <font>
      <b/>
      <i/>
      <sz val="12"/>
      <color theme="1"/>
      <name val="Segoe UI"/>
      <family val="2"/>
    </font>
    <font>
      <sz val="11"/>
      <color theme="4"/>
      <name val="Segoe UI"/>
      <family val="2"/>
    </font>
    <font>
      <b/>
      <sz val="11"/>
      <color theme="1"/>
      <name val="Segoe UI"/>
      <family val="2"/>
    </font>
    <font>
      <sz val="12"/>
      <name val="Calibri"/>
      <family val="2"/>
      <scheme val="minor"/>
    </font>
    <font>
      <b/>
      <sz val="26"/>
      <color theme="1"/>
      <name val="Calibri"/>
      <family val="2"/>
      <scheme val="minor"/>
    </font>
    <font>
      <sz val="11"/>
      <name val="Calibri"/>
      <family val="2"/>
    </font>
    <font>
      <sz val="11"/>
      <color theme="0"/>
      <name val="Calibri"/>
      <family val="2"/>
    </font>
    <font>
      <sz val="9"/>
      <color theme="1"/>
      <name val="Segoe UI"/>
      <family val="2"/>
    </font>
    <font>
      <sz val="8"/>
      <color theme="1"/>
      <name val="Segoe UI"/>
      <family val="2"/>
    </font>
    <font>
      <sz val="9"/>
      <color theme="4"/>
      <name val="Segoe UI"/>
      <family val="2"/>
    </font>
    <font>
      <sz val="11"/>
      <name val="Calibri"/>
      <family val="2"/>
      <scheme val="minor"/>
    </font>
  </fonts>
  <fills count="9">
    <fill>
      <patternFill patternType="none"/>
    </fill>
    <fill>
      <patternFill patternType="gray125"/>
    </fill>
    <fill>
      <patternFill patternType="solid">
        <fgColor theme="5"/>
        <bgColor indexed="64"/>
      </patternFill>
    </fill>
    <fill>
      <patternFill patternType="solid">
        <fgColor theme="7"/>
        <bgColor indexed="64"/>
      </patternFill>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249977111117893"/>
        <bgColor indexed="64"/>
      </patternFill>
    </fill>
    <fill>
      <patternFill patternType="solid">
        <fgColor rgb="FFF2F2F2"/>
        <bgColor indexed="64"/>
      </patternFill>
    </fill>
  </fills>
  <borders count="4">
    <border>
      <left/>
      <right/>
      <top/>
      <bottom/>
      <diagonal/>
    </border>
    <border>
      <left/>
      <right/>
      <top/>
      <bottom style="thin">
        <color indexed="64"/>
      </bottom>
      <diagonal/>
    </border>
    <border>
      <left/>
      <right style="thin">
        <color indexed="64"/>
      </right>
      <top/>
      <bottom/>
      <diagonal/>
    </border>
    <border>
      <left/>
      <right/>
      <top style="thin">
        <color indexed="64"/>
      </top>
      <bottom/>
      <diagonal/>
    </border>
  </borders>
  <cellStyleXfs count="4">
    <xf numFmtId="0" fontId="0" fillId="0" borderId="0"/>
    <xf numFmtId="43" fontId="1" fillId="0" borderId="0" applyFont="0" applyFill="0" applyBorder="0" applyAlignment="0" applyProtection="0"/>
    <xf numFmtId="0" fontId="5" fillId="0" borderId="0" applyNumberFormat="0" applyFill="0" applyBorder="0" applyAlignment="0" applyProtection="0"/>
    <xf numFmtId="0" fontId="14" fillId="0" borderId="0"/>
  </cellStyleXfs>
  <cellXfs count="39">
    <xf numFmtId="0" fontId="0" fillId="0" borderId="0" xfId="0"/>
    <xf numFmtId="0" fontId="4" fillId="0" borderId="0" xfId="0" applyFont="1" applyAlignment="1">
      <alignment vertical="center"/>
    </xf>
    <xf numFmtId="0" fontId="5" fillId="0" borderId="0" xfId="2" applyAlignment="1">
      <alignment vertical="center"/>
    </xf>
    <xf numFmtId="0" fontId="4" fillId="4" borderId="0" xfId="0" applyFont="1" applyFill="1" applyAlignment="1">
      <alignment vertical="center"/>
    </xf>
    <xf numFmtId="0" fontId="4" fillId="2" borderId="0" xfId="0" applyFont="1" applyFill="1" applyAlignment="1">
      <alignment horizontal="center" vertical="center"/>
    </xf>
    <xf numFmtId="0" fontId="4" fillId="3" borderId="0" xfId="0" applyFont="1" applyFill="1" applyAlignment="1">
      <alignment vertical="center"/>
    </xf>
    <xf numFmtId="0" fontId="6" fillId="0" borderId="0" xfId="0" applyFont="1" applyAlignment="1">
      <alignment vertical="center"/>
    </xf>
    <xf numFmtId="0" fontId="7" fillId="0" borderId="1" xfId="0" applyFont="1" applyBorder="1" applyAlignment="1">
      <alignment vertical="center"/>
    </xf>
    <xf numFmtId="0" fontId="4" fillId="0" borderId="1" xfId="0" applyFont="1" applyBorder="1" applyAlignment="1">
      <alignment vertical="center"/>
    </xf>
    <xf numFmtId="0" fontId="8" fillId="0" borderId="0" xfId="0" applyFont="1" applyAlignment="1">
      <alignment vertical="center"/>
    </xf>
    <xf numFmtId="0" fontId="4" fillId="5" borderId="0" xfId="0" applyFont="1" applyFill="1" applyAlignment="1">
      <alignment vertical="center"/>
    </xf>
    <xf numFmtId="0" fontId="9" fillId="5" borderId="0" xfId="0" applyFont="1" applyFill="1" applyAlignment="1">
      <alignment vertical="center"/>
    </xf>
    <xf numFmtId="0" fontId="11" fillId="5" borderId="0" xfId="0" applyFont="1" applyFill="1" applyAlignment="1">
      <alignment horizontal="right" vertical="center" textRotation="90"/>
    </xf>
    <xf numFmtId="0" fontId="10" fillId="5" borderId="0" xfId="0" applyFont="1" applyFill="1" applyAlignment="1">
      <alignment horizontal="left" vertical="center" indent="1"/>
    </xf>
    <xf numFmtId="0" fontId="10" fillId="6" borderId="0" xfId="0" applyFont="1" applyFill="1" applyAlignment="1">
      <alignment horizontal="left" vertical="center" indent="1"/>
    </xf>
    <xf numFmtId="0" fontId="4" fillId="5" borderId="0" xfId="0" applyFont="1" applyFill="1" applyAlignment="1">
      <alignment horizontal="center" vertical="center"/>
    </xf>
    <xf numFmtId="165" fontId="10" fillId="6" borderId="0" xfId="0" applyNumberFormat="1" applyFont="1" applyFill="1" applyAlignment="1">
      <alignment horizontal="left" vertical="center"/>
    </xf>
    <xf numFmtId="0" fontId="3" fillId="5" borderId="0" xfId="0" applyFont="1" applyFill="1" applyAlignment="1">
      <alignment vertical="center"/>
    </xf>
    <xf numFmtId="0" fontId="0" fillId="0" borderId="0" xfId="0" applyAlignment="1">
      <alignment horizontal="center"/>
    </xf>
    <xf numFmtId="0" fontId="13" fillId="0" borderId="0" xfId="0" applyFont="1"/>
    <xf numFmtId="0" fontId="12" fillId="0" borderId="1" xfId="0" applyFont="1" applyBorder="1"/>
    <xf numFmtId="0" fontId="0" fillId="0" borderId="1" xfId="0" applyBorder="1"/>
    <xf numFmtId="164" fontId="0" fillId="0" borderId="0" xfId="1" applyNumberFormat="1" applyFont="1"/>
    <xf numFmtId="164" fontId="0" fillId="0" borderId="1" xfId="1" applyNumberFormat="1" applyFont="1" applyBorder="1"/>
    <xf numFmtId="0" fontId="16" fillId="5" borderId="0" xfId="0" applyFont="1" applyFill="1" applyAlignment="1">
      <alignment vertical="center"/>
    </xf>
    <xf numFmtId="0" fontId="18" fillId="0" borderId="0" xfId="0" applyFont="1" applyAlignment="1">
      <alignment horizontal="left" vertical="center"/>
    </xf>
    <xf numFmtId="0" fontId="15" fillId="7" borderId="0" xfId="3" applyFont="1" applyFill="1" applyAlignment="1">
      <alignment horizontal="center" vertical="center" wrapText="1"/>
    </xf>
    <xf numFmtId="0" fontId="2" fillId="7" borderId="0" xfId="0" applyFont="1" applyFill="1" applyAlignment="1">
      <alignment horizontal="center" vertical="center" wrapText="1"/>
    </xf>
    <xf numFmtId="164" fontId="2" fillId="7" borderId="0" xfId="1" applyNumberFormat="1" applyFont="1" applyFill="1" applyAlignment="1">
      <alignment horizontal="center" vertical="center" wrapText="1"/>
    </xf>
    <xf numFmtId="165" fontId="10" fillId="6" borderId="0" xfId="0" applyNumberFormat="1" applyFont="1" applyFill="1" applyAlignment="1">
      <alignment horizontal="left" vertical="top"/>
    </xf>
    <xf numFmtId="0" fontId="4" fillId="8" borderId="0" xfId="0" applyFont="1" applyFill="1" applyAlignment="1">
      <alignment vertical="center"/>
    </xf>
    <xf numFmtId="165" fontId="10" fillId="8" borderId="0" xfId="0" applyNumberFormat="1" applyFont="1" applyFill="1" applyAlignment="1">
      <alignment horizontal="left" vertical="center"/>
    </xf>
    <xf numFmtId="0" fontId="11" fillId="5" borderId="2" xfId="0" applyFont="1" applyFill="1" applyBorder="1" applyAlignment="1">
      <alignment horizontal="right" vertical="center" textRotation="90"/>
    </xf>
    <xf numFmtId="0" fontId="17" fillId="5" borderId="0" xfId="0" applyFont="1" applyFill="1" applyAlignment="1">
      <alignment horizontal="center" vertical="center" wrapText="1"/>
    </xf>
    <xf numFmtId="0" fontId="17" fillId="5" borderId="0" xfId="0" applyFont="1" applyFill="1" applyAlignment="1">
      <alignment horizontal="left" vertical="center" wrapText="1"/>
    </xf>
    <xf numFmtId="0" fontId="16" fillId="0" borderId="3" xfId="0" applyFont="1" applyBorder="1" applyAlignment="1">
      <alignment horizontal="left" vertical="top" wrapText="1"/>
    </xf>
    <xf numFmtId="0" fontId="16" fillId="0" borderId="0" xfId="0" applyFont="1" applyAlignment="1">
      <alignment horizontal="left" vertical="top" wrapText="1"/>
    </xf>
    <xf numFmtId="165" fontId="18" fillId="6" borderId="0" xfId="0" applyNumberFormat="1" applyFont="1" applyFill="1" applyAlignment="1">
      <alignment horizontal="left" vertical="center" wrapText="1"/>
    </xf>
    <xf numFmtId="164" fontId="19" fillId="0" borderId="0" xfId="0" applyNumberFormat="1" applyFont="1"/>
  </cellXfs>
  <cellStyles count="4">
    <cellStyle name="Comma" xfId="1" builtinId="3"/>
    <cellStyle name="Hyperlink" xfId="2" builtinId="8"/>
    <cellStyle name="Normal" xfId="0" builtinId="0"/>
    <cellStyle name="Normal 2" xfId="3" xr:uid="{50EFA4DE-6237-4A0C-8969-90C4E2F7A1BF}"/>
  </cellStyles>
  <dxfs count="23">
    <dxf>
      <font>
        <b val="0"/>
        <i val="0"/>
        <strike val="0"/>
        <condense val="0"/>
        <extend val="0"/>
        <outline val="0"/>
        <shadow val="0"/>
        <u val="none"/>
        <vertAlign val="baseline"/>
        <sz val="11"/>
        <color auto="1"/>
        <name val="Calibri"/>
        <family val="2"/>
        <scheme val="minor"/>
      </font>
      <numFmt numFmtId="164" formatCode="_(* #,##0_);_(* \(#,##0\);_(* &quot;-&quot;??_);_(@_)"/>
    </dxf>
    <dxf>
      <font>
        <b val="0"/>
        <i val="0"/>
        <strike val="0"/>
        <condense val="0"/>
        <extend val="0"/>
        <outline val="0"/>
        <shadow val="0"/>
        <u val="none"/>
        <vertAlign val="baseline"/>
        <sz val="11"/>
        <color auto="1"/>
        <name val="Calibri"/>
        <family val="2"/>
        <scheme val="minor"/>
      </font>
      <numFmt numFmtId="164" formatCode="_(* #,##0_);_(* \(#,##0\);_(* &quot;-&quot;??_);_(@_)"/>
    </dxf>
    <dxf>
      <font>
        <b val="0"/>
        <i val="0"/>
        <strike val="0"/>
        <condense val="0"/>
        <extend val="0"/>
        <outline val="0"/>
        <shadow val="0"/>
        <u val="none"/>
        <vertAlign val="baseline"/>
        <sz val="11"/>
        <color auto="1"/>
        <name val="Calibri"/>
        <family val="2"/>
        <scheme val="minor"/>
      </font>
      <numFmt numFmtId="164" formatCode="_(* #,##0_);_(* \(#,##0\);_(* &quot;-&quot;??_);_(@_)"/>
    </dxf>
    <dxf>
      <font>
        <b val="0"/>
        <i val="0"/>
        <strike val="0"/>
        <condense val="0"/>
        <extend val="0"/>
        <outline val="0"/>
        <shadow val="0"/>
        <u val="none"/>
        <vertAlign val="baseline"/>
        <sz val="11"/>
        <color auto="1"/>
        <name val="Calibri"/>
        <family val="2"/>
        <scheme val="minor"/>
      </font>
      <numFmt numFmtId="164" formatCode="_(* #,##0_);_(* \(#,##0\);_(* &quot;-&quot;??_);_(@_)"/>
    </dxf>
    <dxf>
      <font>
        <b val="0"/>
        <i val="0"/>
        <strike val="0"/>
        <condense val="0"/>
        <extend val="0"/>
        <outline val="0"/>
        <shadow val="0"/>
        <u val="none"/>
        <vertAlign val="baseline"/>
        <sz val="11"/>
        <color auto="1"/>
        <name val="Calibri"/>
        <family val="2"/>
        <scheme val="minor"/>
      </font>
      <numFmt numFmtId="164" formatCode="_(* #,##0_);_(* \(#,##0\);_(* &quot;-&quot;??_);_(@_)"/>
    </dxf>
    <dxf>
      <font>
        <b val="0"/>
        <i val="0"/>
        <strike val="0"/>
        <condense val="0"/>
        <extend val="0"/>
        <outline val="0"/>
        <shadow val="0"/>
        <u val="none"/>
        <vertAlign val="baseline"/>
        <sz val="11"/>
        <color auto="1"/>
        <name val="Calibri"/>
        <family val="2"/>
        <scheme val="minor"/>
      </font>
      <numFmt numFmtId="164" formatCode="_(* #,##0_);_(* \(#,##0\);_(* &quot;-&quot;??_);_(@_)"/>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alignment horizontal="center" vertical="center" textRotation="0" wrapText="1" indent="0" justifyLastLine="0" shrinkToFit="0" readingOrder="0"/>
    </dxf>
  </dxfs>
  <tableStyles count="0" defaultTableStyle="TableStyleMedium9" defaultPivotStyle="PivotStyleLight16"/>
  <colors>
    <mruColors>
      <color rgb="FFF2F2F2"/>
      <color rgb="FFDFDDBF"/>
      <color rgb="FFFFC5C5"/>
      <color rgb="FFFF6D6D"/>
      <color rgb="FFE878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hyperlink" Target="https://www.youtube.com/acusyria" TargetMode="External"/><Relationship Id="rId3" Type="http://schemas.openxmlformats.org/officeDocument/2006/relationships/image" Target="../media/image2.png"/><Relationship Id="rId7" Type="http://schemas.openxmlformats.org/officeDocument/2006/relationships/hyperlink" Target="https://www.instagram.com/acusyria/" TargetMode="External"/><Relationship Id="rId2" Type="http://schemas.openxmlformats.org/officeDocument/2006/relationships/hyperlink" Target="#DB!A1"/><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mailto:info@acu-sy.org" TargetMode="External"/><Relationship Id="rId10" Type="http://schemas.openxmlformats.org/officeDocument/2006/relationships/hyperlink" Target="https://www.facebook.com/login/?next=https%3A%2F%2Fwww.facebook.com%2FACUSyria%2F" TargetMode="External"/><Relationship Id="rId4" Type="http://schemas.openxmlformats.org/officeDocument/2006/relationships/image" Target="../media/image3.svg"/><Relationship Id="rId9" Type="http://schemas.openxmlformats.org/officeDocument/2006/relationships/hyperlink" Target="https://twitter.com/acusyria" TargetMode="External"/></Relationships>
</file>

<file path=xl/drawings/drawing1.xml><?xml version="1.0" encoding="utf-8"?>
<xdr:wsDr xmlns:xdr="http://schemas.openxmlformats.org/drawingml/2006/spreadsheetDrawing" xmlns:a="http://schemas.openxmlformats.org/drawingml/2006/main">
  <xdr:twoCellAnchor editAs="oneCell">
    <xdr:from>
      <xdr:col>13</xdr:col>
      <xdr:colOff>706094</xdr:colOff>
      <xdr:row>0</xdr:row>
      <xdr:rowOff>137078</xdr:rowOff>
    </xdr:from>
    <xdr:to>
      <xdr:col>13</xdr:col>
      <xdr:colOff>1351392</xdr:colOff>
      <xdr:row>3</xdr:row>
      <xdr:rowOff>245027</xdr:rowOff>
    </xdr:to>
    <xdr:pic>
      <xdr:nvPicPr>
        <xdr:cNvPr id="2" name="Picture 1">
          <a:extLst>
            <a:ext uri="{FF2B5EF4-FFF2-40B4-BE49-F238E27FC236}">
              <a16:creationId xmlns:a16="http://schemas.microsoft.com/office/drawing/2014/main" id="{E73B9959-1F1D-4F72-B446-EBEB607EE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4444" y="137078"/>
          <a:ext cx="660538" cy="660399"/>
        </a:xfrm>
        <a:prstGeom prst="rect">
          <a:avLst/>
        </a:prstGeom>
        <a:effectLst>
          <a:outerShdw blurRad="50800" dist="50800" dir="5400000" sx="1000" sy="1000" algn="ctr" rotWithShape="0">
            <a:srgbClr val="000000"/>
          </a:outerShdw>
          <a:reflection stA="15000" endPos="76000" dist="50800" dir="5400000" sy="-100000" algn="bl" rotWithShape="0"/>
        </a:effectLst>
      </xdr:spPr>
    </xdr:pic>
    <xdr:clientData/>
  </xdr:twoCellAnchor>
  <xdr:twoCellAnchor editAs="oneCell">
    <xdr:from>
      <xdr:col>13</xdr:col>
      <xdr:colOff>181803</xdr:colOff>
      <xdr:row>7</xdr:row>
      <xdr:rowOff>58391</xdr:rowOff>
    </xdr:from>
    <xdr:to>
      <xdr:col>13</xdr:col>
      <xdr:colOff>1239078</xdr:colOff>
      <xdr:row>12</xdr:row>
      <xdr:rowOff>58390</xdr:rowOff>
    </xdr:to>
    <xdr:pic>
      <xdr:nvPicPr>
        <xdr:cNvPr id="3" name="Graphic 2" descr="Database with solid fill">
          <a:hlinkClick xmlns:r="http://schemas.openxmlformats.org/officeDocument/2006/relationships" r:id="rId2"/>
          <a:extLst>
            <a:ext uri="{FF2B5EF4-FFF2-40B4-BE49-F238E27FC236}">
              <a16:creationId xmlns:a16="http://schemas.microsoft.com/office/drawing/2014/main" id="{A8ACDC9C-8773-48C8-BBC2-0D6772D1C8E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030153" y="1687166"/>
          <a:ext cx="1057275" cy="1057274"/>
        </a:xfrm>
        <a:prstGeom prst="rect">
          <a:avLst/>
        </a:prstGeom>
      </xdr:spPr>
    </xdr:pic>
    <xdr:clientData/>
  </xdr:twoCellAnchor>
  <xdr:twoCellAnchor editAs="oneCell">
    <xdr:from>
      <xdr:col>13</xdr:col>
      <xdr:colOff>1102546</xdr:colOff>
      <xdr:row>21</xdr:row>
      <xdr:rowOff>124389</xdr:rowOff>
    </xdr:from>
    <xdr:to>
      <xdr:col>14</xdr:col>
      <xdr:colOff>21598</xdr:colOff>
      <xdr:row>22</xdr:row>
      <xdr:rowOff>172592</xdr:rowOff>
    </xdr:to>
    <xdr:pic>
      <xdr:nvPicPr>
        <xdr:cNvPr id="4" name="Picture 3">
          <a:hlinkClick xmlns:r="http://schemas.openxmlformats.org/officeDocument/2006/relationships" r:id="rId5"/>
          <a:extLst>
            <a:ext uri="{FF2B5EF4-FFF2-40B4-BE49-F238E27FC236}">
              <a16:creationId xmlns:a16="http://schemas.microsoft.com/office/drawing/2014/main" id="{EBD8474F-5F4A-4297-BF14-EB01AF2A27F2}"/>
            </a:ext>
          </a:extLst>
        </xdr:cNvPr>
        <xdr:cNvPicPr>
          <a:picLocks noChangeAspect="1"/>
        </xdr:cNvPicPr>
      </xdr:nvPicPr>
      <xdr:blipFill rotWithShape="1">
        <a:blip xmlns:r="http://schemas.openxmlformats.org/officeDocument/2006/relationships" r:embed="rId6"/>
        <a:srcRect l="80952"/>
        <a:stretch/>
      </xdr:blipFill>
      <xdr:spPr>
        <a:xfrm>
          <a:off x="6958350" y="4754367"/>
          <a:ext cx="382506" cy="395079"/>
        </a:xfrm>
        <a:prstGeom prst="rect">
          <a:avLst/>
        </a:prstGeom>
      </xdr:spPr>
    </xdr:pic>
    <xdr:clientData/>
  </xdr:twoCellAnchor>
  <xdr:twoCellAnchor editAs="oneCell">
    <xdr:from>
      <xdr:col>13</xdr:col>
      <xdr:colOff>705337</xdr:colOff>
      <xdr:row>21</xdr:row>
      <xdr:rowOff>126726</xdr:rowOff>
    </xdr:from>
    <xdr:to>
      <xdr:col>13</xdr:col>
      <xdr:colOff>1083480</xdr:colOff>
      <xdr:row>22</xdr:row>
      <xdr:rowOff>173024</xdr:rowOff>
    </xdr:to>
    <xdr:pic>
      <xdr:nvPicPr>
        <xdr:cNvPr id="5" name="Picture 4">
          <a:hlinkClick xmlns:r="http://schemas.openxmlformats.org/officeDocument/2006/relationships" r:id="rId7"/>
          <a:extLst>
            <a:ext uri="{FF2B5EF4-FFF2-40B4-BE49-F238E27FC236}">
              <a16:creationId xmlns:a16="http://schemas.microsoft.com/office/drawing/2014/main" id="{025C9F6E-71DD-4907-BA4F-430DBF05A6D6}"/>
            </a:ext>
          </a:extLst>
        </xdr:cNvPr>
        <xdr:cNvPicPr>
          <a:picLocks noChangeAspect="1"/>
        </xdr:cNvPicPr>
      </xdr:nvPicPr>
      <xdr:blipFill rotWithShape="1">
        <a:blip xmlns:r="http://schemas.openxmlformats.org/officeDocument/2006/relationships" r:embed="rId6"/>
        <a:srcRect l="60799" r="20039"/>
        <a:stretch/>
      </xdr:blipFill>
      <xdr:spPr>
        <a:xfrm>
          <a:off x="6561141" y="4756704"/>
          <a:ext cx="385763" cy="395079"/>
        </a:xfrm>
        <a:prstGeom prst="rect">
          <a:avLst/>
        </a:prstGeom>
      </xdr:spPr>
    </xdr:pic>
    <xdr:clientData/>
  </xdr:twoCellAnchor>
  <xdr:twoCellAnchor editAs="oneCell">
    <xdr:from>
      <xdr:col>13</xdr:col>
      <xdr:colOff>318135</xdr:colOff>
      <xdr:row>21</xdr:row>
      <xdr:rowOff>125468</xdr:rowOff>
    </xdr:from>
    <xdr:to>
      <xdr:col>13</xdr:col>
      <xdr:colOff>701068</xdr:colOff>
      <xdr:row>22</xdr:row>
      <xdr:rowOff>173671</xdr:rowOff>
    </xdr:to>
    <xdr:pic>
      <xdr:nvPicPr>
        <xdr:cNvPr id="6" name="Picture 5">
          <a:hlinkClick xmlns:r="http://schemas.openxmlformats.org/officeDocument/2006/relationships" r:id="rId8"/>
          <a:extLst>
            <a:ext uri="{FF2B5EF4-FFF2-40B4-BE49-F238E27FC236}">
              <a16:creationId xmlns:a16="http://schemas.microsoft.com/office/drawing/2014/main" id="{6B1772B4-1527-40A6-9966-8FB9CDE78F5A}"/>
            </a:ext>
          </a:extLst>
        </xdr:cNvPr>
        <xdr:cNvPicPr>
          <a:picLocks noChangeAspect="1"/>
        </xdr:cNvPicPr>
      </xdr:nvPicPr>
      <xdr:blipFill rotWithShape="1">
        <a:blip xmlns:r="http://schemas.openxmlformats.org/officeDocument/2006/relationships" r:embed="rId6"/>
        <a:srcRect l="40713" r="41058"/>
        <a:stretch/>
      </xdr:blipFill>
      <xdr:spPr>
        <a:xfrm>
          <a:off x="6173939" y="4755446"/>
          <a:ext cx="377218" cy="395079"/>
        </a:xfrm>
        <a:prstGeom prst="rect">
          <a:avLst/>
        </a:prstGeom>
      </xdr:spPr>
    </xdr:pic>
    <xdr:clientData/>
  </xdr:twoCellAnchor>
  <xdr:twoCellAnchor editAs="oneCell">
    <xdr:from>
      <xdr:col>12</xdr:col>
      <xdr:colOff>234088</xdr:colOff>
      <xdr:row>21</xdr:row>
      <xdr:rowOff>125648</xdr:rowOff>
    </xdr:from>
    <xdr:to>
      <xdr:col>13</xdr:col>
      <xdr:colOff>307350</xdr:colOff>
      <xdr:row>22</xdr:row>
      <xdr:rowOff>173851</xdr:rowOff>
    </xdr:to>
    <xdr:pic>
      <xdr:nvPicPr>
        <xdr:cNvPr id="7" name="Picture 6">
          <a:hlinkClick xmlns:r="http://schemas.openxmlformats.org/officeDocument/2006/relationships" r:id="rId9"/>
          <a:extLst>
            <a:ext uri="{FF2B5EF4-FFF2-40B4-BE49-F238E27FC236}">
              <a16:creationId xmlns:a16="http://schemas.microsoft.com/office/drawing/2014/main" id="{659B9271-11BD-4546-B94E-564E30B3BD45}"/>
            </a:ext>
          </a:extLst>
        </xdr:cNvPr>
        <xdr:cNvPicPr>
          <a:picLocks noChangeAspect="1"/>
        </xdr:cNvPicPr>
      </xdr:nvPicPr>
      <xdr:blipFill rotWithShape="1">
        <a:blip xmlns:r="http://schemas.openxmlformats.org/officeDocument/2006/relationships" r:embed="rId6"/>
        <a:srcRect l="19850" r="60705"/>
        <a:stretch/>
      </xdr:blipFill>
      <xdr:spPr>
        <a:xfrm>
          <a:off x="5783436" y="4755626"/>
          <a:ext cx="379718" cy="395079"/>
        </a:xfrm>
        <a:prstGeom prst="rect">
          <a:avLst/>
        </a:prstGeom>
      </xdr:spPr>
    </xdr:pic>
    <xdr:clientData/>
  </xdr:twoCellAnchor>
  <xdr:twoCellAnchor editAs="oneCell">
    <xdr:from>
      <xdr:col>11</xdr:col>
      <xdr:colOff>1156093</xdr:colOff>
      <xdr:row>21</xdr:row>
      <xdr:rowOff>126187</xdr:rowOff>
    </xdr:from>
    <xdr:to>
      <xdr:col>12</xdr:col>
      <xdr:colOff>208950</xdr:colOff>
      <xdr:row>22</xdr:row>
      <xdr:rowOff>172484</xdr:rowOff>
    </xdr:to>
    <xdr:pic>
      <xdr:nvPicPr>
        <xdr:cNvPr id="8" name="Picture 7">
          <a:hlinkClick xmlns:r="http://schemas.openxmlformats.org/officeDocument/2006/relationships" r:id="rId10"/>
          <a:extLst>
            <a:ext uri="{FF2B5EF4-FFF2-40B4-BE49-F238E27FC236}">
              <a16:creationId xmlns:a16="http://schemas.microsoft.com/office/drawing/2014/main" id="{844C27FB-4D04-4595-AF50-D5353421C09C}"/>
            </a:ext>
          </a:extLst>
        </xdr:cNvPr>
        <xdr:cNvPicPr>
          <a:picLocks noChangeAspect="1"/>
        </xdr:cNvPicPr>
      </xdr:nvPicPr>
      <xdr:blipFill rotWithShape="1">
        <a:blip xmlns:r="http://schemas.openxmlformats.org/officeDocument/2006/relationships" r:embed="rId6"/>
        <a:srcRect r="80960"/>
        <a:stretch/>
      </xdr:blipFill>
      <xdr:spPr>
        <a:xfrm>
          <a:off x="5388506" y="4756165"/>
          <a:ext cx="385032" cy="39507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18BF03-D5B2-4821-BB96-D3542DA94892}" name="Winter_Camps" displayName="Winter_Camps" ref="B5:N83" totalsRowCount="1" headerRowDxfId="22">
  <autoFilter ref="B5:N82" xr:uid="{AFBFB46C-2850-4DA5-B9DF-C0669EC639A7}"/>
  <sortState xmlns:xlrd2="http://schemas.microsoft.com/office/spreadsheetml/2017/richdata2" ref="B6:L939">
    <sortCondition ref="H5:H939"/>
  </sortState>
  <tableColumns count="13">
    <tableColumn id="4" xr3:uid="{CEA132A5-2CAE-4019-8EB2-1BFD02B8AE5E}" name="#" totalsRowLabel="Total" dataDxfId="21" totalsRowDxfId="6"/>
    <tableColumn id="13" xr3:uid="{FDCD4D1C-6F34-4B64-8F13-05920EB0BE74}" name="admin1Pcode" dataDxfId="20"/>
    <tableColumn id="14" xr3:uid="{DA0819F2-F671-41BA-AE8A-0F2D8429A435}" name="admin2Pcode" dataDxfId="19"/>
    <tableColumn id="15" xr3:uid="{54CC89B5-5A43-4F8F-A0D5-9DAEC53779D1}" name="admin3Pcode" dataDxfId="18"/>
    <tableColumn id="16" xr3:uid="{0BD4E88E-0A7D-48B0-8A87-8341E26EE09C}" name="Governorate" dataDxfId="17"/>
    <tableColumn id="3" xr3:uid="{90020EA4-AF43-4038-8C97-3C958B0BCE50}" name="District" dataDxfId="16"/>
    <tableColumn id="18" xr3:uid="{63E46D80-6EFB-4984-88A8-A7C186890398}" name="Sub-district" dataDxfId="15"/>
    <tableColumn id="9" xr3:uid="{259D5A83-E8D7-4EA4-B62E-F198D8CF8404}" name="Total Population" totalsRowFunction="sum" dataDxfId="14" totalsRowDxfId="5" dataCellStyle="Comma" totalsRowCellStyle="Comma"/>
    <tableColumn id="8" xr3:uid="{A890FCE4-69C3-480E-9E65-374DBEE6A131}" name="IDPs Off-Camps " totalsRowFunction="sum" dataDxfId="13" totalsRowDxfId="4" dataCellStyle="Comma" totalsRowCellStyle="Comma"/>
    <tableColumn id="12" xr3:uid="{E3D285E6-9176-4E17-B9EB-89AAB2DE2E78}" name="IDPs In-Camps (IDPs site)" totalsRowFunction="sum" dataDxfId="12" totalsRowDxfId="3" dataCellStyle="Comma" totalsRowCellStyle="Comma"/>
    <tableColumn id="5" xr3:uid="{FA95E939-553A-49AA-8DC8-BA4C86FCE693}" name="Total Arrivals New IDPs (Last 30 days)" totalsRowFunction="sum" dataDxfId="11" totalsRowDxfId="2" dataCellStyle="Comma" totalsRowCellStyle="Comma"/>
    <tableColumn id="1" xr3:uid="{9911D9FB-7931-42A6-AF41-83DC0DAA0A14}" name="Total Departures (Last 30 days)" totalsRowFunction="sum" dataDxfId="10" totalsRowDxfId="1" dataCellStyle="Comma" totalsRowCellStyle="Comma"/>
    <tableColumn id="2" xr3:uid="{091430CB-AC06-4DCE-A003-29BCB4897E76}" name="Total Returnees (Last 30 days)" totalsRowFunction="sum" dataDxfId="9" totalsRowDxfId="0" dataCellStyle="Comma" totalsRowCellStyle="Comma"/>
  </tableColumns>
  <tableStyleInfo name="TableStyleMedium13" showFirstColumn="0" showLastColumn="0" showRowStripes="1" showColumnStripes="0"/>
</table>
</file>

<file path=xl/theme/theme1.xml><?xml version="1.0" encoding="utf-8"?>
<a:theme xmlns:a="http://schemas.openxmlformats.org/drawingml/2006/main" name="ACU_MAIN_COLORS">
  <a:themeElements>
    <a:clrScheme name="ACU">
      <a:dk1>
        <a:sysClr val="windowText" lastClr="000000"/>
      </a:dk1>
      <a:lt1>
        <a:sysClr val="window" lastClr="FFFFFF"/>
      </a:lt1>
      <a:dk2>
        <a:srgbClr val="1F497D"/>
      </a:dk2>
      <a:lt2>
        <a:srgbClr val="EEECE1"/>
      </a:lt2>
      <a:accent1>
        <a:srgbClr val="368390"/>
      </a:accent1>
      <a:accent2>
        <a:srgbClr val="65B98F"/>
      </a:accent2>
      <a:accent3>
        <a:srgbClr val="F45E5E"/>
      </a:accent3>
      <a:accent4>
        <a:srgbClr val="E3E3E5"/>
      </a:accent4>
      <a:accent5>
        <a:srgbClr val="FFFFFF"/>
      </a:accent5>
      <a:accent6>
        <a:srgbClr val="FDEADA"/>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32F50-B014-422B-B2C5-DF557EBCCECC}">
  <dimension ref="A1:SA23"/>
  <sheetViews>
    <sheetView showGridLines="0" showRowColHeaders="0" tabSelected="1" zoomScale="115" zoomScaleNormal="115" workbookViewId="0">
      <selection activeCell="L11" sqref="L11"/>
    </sheetView>
  </sheetViews>
  <sheetFormatPr defaultColWidth="0" defaultRowHeight="16.5" customHeight="1" zeroHeight="1" x14ac:dyDescent="0.3"/>
  <cols>
    <col min="1" max="1" width="1.44140625" style="1" customWidth="1"/>
    <col min="2" max="3" width="1.109375" style="1" customWidth="1"/>
    <col min="4" max="4" width="2.5546875" style="1" customWidth="1"/>
    <col min="5" max="5" width="1.109375" style="1" customWidth="1"/>
    <col min="6" max="6" width="2.44140625" style="1" customWidth="1"/>
    <col min="7" max="7" width="11.6640625" style="1" customWidth="1"/>
    <col min="8" max="8" width="19.6640625" style="1" customWidth="1"/>
    <col min="9" max="9" width="10.5546875" style="1" customWidth="1"/>
    <col min="10" max="10" width="1.109375" style="1" customWidth="1"/>
    <col min="11" max="11" width="10.44140625" style="1" customWidth="1"/>
    <col min="12" max="12" width="19.6640625" style="1" customWidth="1"/>
    <col min="13" max="13" width="4.5546875" style="1" customWidth="1"/>
    <col min="14" max="14" width="21.88671875" style="1" customWidth="1"/>
    <col min="15" max="15" width="1.44140625" style="1" customWidth="1"/>
    <col min="16" max="16" width="80.6640625" style="1" hidden="1" customWidth="1"/>
    <col min="17" max="17" width="32.88671875" style="1" hidden="1" customWidth="1"/>
    <col min="18" max="18" width="81.109375" style="1" hidden="1" customWidth="1"/>
    <col min="19" max="19" width="62.33203125" style="1" hidden="1" customWidth="1"/>
    <col min="20" max="20" width="22.44140625" style="1" hidden="1" customWidth="1"/>
    <col min="21" max="21" width="48.6640625" style="1" hidden="1" customWidth="1"/>
    <col min="22" max="22" width="40.5546875" style="1" hidden="1" customWidth="1"/>
    <col min="23" max="23" width="72.88671875" style="1" hidden="1" customWidth="1"/>
    <col min="24" max="24" width="61.109375" style="1" hidden="1" customWidth="1"/>
    <col min="25" max="25" width="81.109375" style="1" hidden="1" customWidth="1"/>
    <col min="26" max="26" width="38.44140625" style="1" hidden="1" customWidth="1"/>
    <col min="27" max="27" width="56.88671875" style="1" hidden="1" customWidth="1"/>
    <col min="28" max="28" width="71.109375" style="1" hidden="1" customWidth="1"/>
    <col min="29" max="29" width="74" style="1" hidden="1" customWidth="1"/>
    <col min="30" max="30" width="67.33203125" style="1" hidden="1" customWidth="1"/>
    <col min="31" max="31" width="27.33203125" style="1" hidden="1" customWidth="1"/>
    <col min="32" max="32" width="43.109375" style="1" hidden="1" customWidth="1"/>
    <col min="33" max="33" width="28.109375" style="1" hidden="1" customWidth="1"/>
    <col min="34" max="34" width="32.88671875" style="1" hidden="1" customWidth="1"/>
    <col min="35" max="35" width="20.88671875" style="1" hidden="1" customWidth="1"/>
    <col min="36" max="36" width="18" style="1" hidden="1" customWidth="1"/>
    <col min="37" max="37" width="16.44140625" style="1" hidden="1" customWidth="1"/>
    <col min="38" max="38" width="38.5546875" style="1" hidden="1" customWidth="1"/>
    <col min="39" max="39" width="13.6640625" style="1" hidden="1" customWidth="1"/>
    <col min="40" max="40" width="20" style="1" hidden="1" customWidth="1"/>
    <col min="41" max="41" width="18.5546875" style="1" hidden="1" customWidth="1"/>
    <col min="42" max="42" width="28.109375" style="1" hidden="1" customWidth="1"/>
    <col min="43" max="43" width="32.88671875" style="1" hidden="1" customWidth="1"/>
    <col min="44" max="44" width="20.88671875" style="1" hidden="1" customWidth="1"/>
    <col min="45" max="45" width="18" style="1" hidden="1" customWidth="1"/>
    <col min="46" max="46" width="16.44140625" style="1" hidden="1" customWidth="1"/>
    <col min="47" max="47" width="38.5546875" style="1" hidden="1" customWidth="1"/>
    <col min="48" max="48" width="13.6640625" style="1" hidden="1" customWidth="1"/>
    <col min="49" max="49" width="20" style="1" hidden="1" customWidth="1"/>
    <col min="50" max="50" width="19.5546875" style="1" hidden="1" customWidth="1"/>
    <col min="51" max="51" width="28.109375" style="1" hidden="1" customWidth="1"/>
    <col min="52" max="52" width="32.88671875" style="1" hidden="1" customWidth="1"/>
    <col min="53" max="53" width="20.88671875" style="1" hidden="1" customWidth="1"/>
    <col min="54" max="54" width="18" style="1" hidden="1" customWidth="1"/>
    <col min="55" max="55" width="16.44140625" style="1" hidden="1" customWidth="1"/>
    <col min="56" max="56" width="38.5546875" style="1" hidden="1" customWidth="1"/>
    <col min="57" max="57" width="13.6640625" style="1" hidden="1" customWidth="1"/>
    <col min="58" max="58" width="62.109375" style="1" hidden="1" customWidth="1"/>
    <col min="59" max="59" width="19.5546875" style="1" hidden="1" customWidth="1"/>
    <col min="60" max="60" width="55.33203125" style="1" hidden="1" customWidth="1"/>
    <col min="61" max="61" width="21.6640625" style="1" hidden="1" customWidth="1"/>
    <col min="62" max="62" width="30" style="1" hidden="1" customWidth="1"/>
    <col min="63" max="63" width="28.6640625" style="1" hidden="1" customWidth="1"/>
    <col min="64" max="64" width="46.88671875" style="1" hidden="1" customWidth="1"/>
    <col min="65" max="65" width="70.44140625" style="1" hidden="1" customWidth="1"/>
    <col min="66" max="66" width="17.5546875" style="1" hidden="1" customWidth="1"/>
    <col min="67" max="67" width="16.6640625" style="1" hidden="1" customWidth="1"/>
    <col min="68" max="68" width="45.88671875" style="1" hidden="1" customWidth="1"/>
    <col min="69" max="69" width="79.6640625" style="1" hidden="1" customWidth="1"/>
    <col min="70" max="71" width="40.88671875" style="1" hidden="1" customWidth="1"/>
    <col min="72" max="72" width="29.88671875" style="1" hidden="1" customWidth="1"/>
    <col min="73" max="73" width="40.88671875" style="1" hidden="1" customWidth="1"/>
    <col min="74" max="74" width="29.88671875" style="1" hidden="1" customWidth="1"/>
    <col min="75" max="75" width="20.44140625" style="1" hidden="1" customWidth="1"/>
    <col min="76" max="76" width="31.109375" style="1" hidden="1" customWidth="1"/>
    <col min="77" max="77" width="81.109375" style="1" hidden="1" customWidth="1"/>
    <col min="78" max="78" width="26.33203125" style="1" hidden="1" customWidth="1"/>
    <col min="79" max="79" width="26.5546875" style="1" hidden="1" customWidth="1"/>
    <col min="80" max="80" width="26.44140625" style="1" hidden="1" customWidth="1"/>
    <col min="81" max="81" width="27.44140625" style="1" hidden="1" customWidth="1"/>
    <col min="82" max="82" width="26.6640625" style="1" hidden="1" customWidth="1"/>
    <col min="83" max="83" width="28.88671875" style="1" hidden="1" customWidth="1"/>
    <col min="84" max="84" width="29" style="1" hidden="1" customWidth="1"/>
    <col min="85" max="85" width="27.5546875" style="1" hidden="1" customWidth="1"/>
    <col min="86" max="86" width="27.109375" style="1" hidden="1" customWidth="1"/>
    <col min="87" max="88" width="27.5546875" style="1" hidden="1" customWidth="1"/>
    <col min="89" max="89" width="32.33203125" style="1" hidden="1" customWidth="1"/>
    <col min="90" max="90" width="23.6640625" style="1" hidden="1" customWidth="1"/>
    <col min="91" max="91" width="44.44140625" style="1" hidden="1" customWidth="1"/>
    <col min="92" max="92" width="24.44140625" style="1" hidden="1" customWidth="1"/>
    <col min="93" max="93" width="23.44140625" style="1" hidden="1" customWidth="1"/>
    <col min="94" max="94" width="34.88671875" style="1" hidden="1" customWidth="1"/>
    <col min="95" max="95" width="24.44140625" style="1" hidden="1" customWidth="1"/>
    <col min="96" max="96" width="25.33203125" style="1" hidden="1" customWidth="1"/>
    <col min="97" max="97" width="15.109375" style="1" hidden="1" customWidth="1"/>
    <col min="98" max="98" width="38.33203125" style="1" hidden="1" customWidth="1"/>
    <col min="99" max="99" width="76.44140625" style="1" hidden="1" customWidth="1"/>
    <col min="100" max="100" width="52.88671875" style="1" hidden="1" customWidth="1"/>
    <col min="101" max="101" width="49.88671875" style="1" hidden="1" customWidth="1"/>
    <col min="102" max="102" width="46.88671875" style="1" hidden="1" customWidth="1"/>
    <col min="103" max="103" width="67.6640625" style="1" hidden="1" customWidth="1"/>
    <col min="104" max="104" width="33.109375" style="1" hidden="1" customWidth="1"/>
    <col min="105" max="105" width="35.33203125" style="1" hidden="1" customWidth="1"/>
    <col min="106" max="106" width="46.5546875" style="1" hidden="1" customWidth="1"/>
    <col min="107" max="107" width="30.6640625" style="1" hidden="1" customWidth="1"/>
    <col min="108" max="108" width="21" style="1" hidden="1" customWidth="1"/>
    <col min="109" max="109" width="39.88671875" style="1" hidden="1" customWidth="1"/>
    <col min="110" max="110" width="54.5546875" style="1" hidden="1" customWidth="1"/>
    <col min="111" max="111" width="28.5546875" style="1" hidden="1" customWidth="1"/>
    <col min="112" max="112" width="49.44140625" style="1" hidden="1" customWidth="1"/>
    <col min="113" max="115" width="81.109375" style="1" hidden="1" customWidth="1"/>
    <col min="116" max="116" width="35" style="1" hidden="1" customWidth="1"/>
    <col min="117" max="117" width="16.44140625" style="1" hidden="1" customWidth="1"/>
    <col min="118" max="118" width="22.88671875" style="1" hidden="1" customWidth="1"/>
    <col min="119" max="119" width="30.109375" style="1" hidden="1" customWidth="1"/>
    <col min="120" max="120" width="28.88671875" style="1" hidden="1" customWidth="1"/>
    <col min="121" max="121" width="23.88671875" style="1" hidden="1" customWidth="1"/>
    <col min="122" max="122" width="16.88671875" style="1" hidden="1" customWidth="1"/>
    <col min="123" max="123" width="59.33203125" style="1" hidden="1" customWidth="1"/>
    <col min="124" max="124" width="26.88671875" style="1" hidden="1" customWidth="1"/>
    <col min="125" max="125" width="38.5546875" style="1" hidden="1" customWidth="1"/>
    <col min="126" max="126" width="33.109375" style="1" hidden="1" customWidth="1"/>
    <col min="127" max="127" width="22.44140625" style="1" hidden="1" customWidth="1"/>
    <col min="128" max="128" width="23" style="1" hidden="1" customWidth="1"/>
    <col min="129" max="129" width="34.33203125" style="1" hidden="1" customWidth="1"/>
    <col min="130" max="130" width="18.88671875" style="1" hidden="1" customWidth="1"/>
    <col min="131" max="131" width="21.33203125" style="1" hidden="1" customWidth="1"/>
    <col min="132" max="132" width="29" style="1" hidden="1" customWidth="1"/>
    <col min="133" max="133" width="46.109375" style="1" hidden="1" customWidth="1"/>
    <col min="134" max="134" width="17.109375" style="1" hidden="1" customWidth="1"/>
    <col min="135" max="135" width="46.6640625" style="1" hidden="1" customWidth="1"/>
    <col min="136" max="136" width="45.88671875" style="1" hidden="1" customWidth="1"/>
    <col min="137" max="137" width="52.109375" style="1" hidden="1" customWidth="1"/>
    <col min="138" max="138" width="39" style="1" hidden="1" customWidth="1"/>
    <col min="139" max="139" width="31.109375" style="1" hidden="1" customWidth="1"/>
    <col min="140" max="140" width="76.5546875" style="1" hidden="1" customWidth="1"/>
    <col min="141" max="141" width="46.88671875" style="1" hidden="1" customWidth="1"/>
    <col min="142" max="142" width="20.88671875" style="1" hidden="1" customWidth="1"/>
    <col min="143" max="143" width="74.44140625" style="1" hidden="1" customWidth="1"/>
    <col min="144" max="144" width="53" style="1" hidden="1" customWidth="1"/>
    <col min="145" max="145" width="77.88671875" style="1" hidden="1" customWidth="1"/>
    <col min="146" max="146" width="28" style="1" hidden="1" customWidth="1"/>
    <col min="147" max="147" width="66.44140625" style="1" hidden="1" customWidth="1"/>
    <col min="148" max="148" width="28.44140625" style="1" hidden="1" customWidth="1"/>
    <col min="149" max="149" width="34.44140625" style="1" hidden="1" customWidth="1"/>
    <col min="150" max="150" width="42.6640625" style="1" hidden="1" customWidth="1"/>
    <col min="151" max="151" width="34.44140625" style="1" hidden="1" customWidth="1"/>
    <col min="152" max="154" width="81.109375" style="1" hidden="1" customWidth="1"/>
    <col min="155" max="155" width="35.5546875" style="1" hidden="1" customWidth="1"/>
    <col min="156" max="156" width="31.33203125" style="1" hidden="1" customWidth="1"/>
    <col min="157" max="157" width="70.88671875" style="1" hidden="1" customWidth="1"/>
    <col min="158" max="158" width="28.44140625" style="1" hidden="1" customWidth="1"/>
    <col min="159" max="159" width="19.33203125" style="1" hidden="1" customWidth="1"/>
    <col min="160" max="160" width="30.6640625" style="1" hidden="1" customWidth="1"/>
    <col min="161" max="161" width="29" style="1" hidden="1" customWidth="1"/>
    <col min="162" max="162" width="41.44140625" style="1" hidden="1" customWidth="1"/>
    <col min="163" max="163" width="28.88671875" style="1" hidden="1" customWidth="1"/>
    <col min="164" max="164" width="38.33203125" style="1" hidden="1" customWidth="1"/>
    <col min="165" max="165" width="60.6640625" style="1" hidden="1" customWidth="1"/>
    <col min="166" max="166" width="16.5546875" style="1" hidden="1" customWidth="1"/>
    <col min="167" max="168" width="17.109375" style="1" hidden="1" customWidth="1"/>
    <col min="169" max="169" width="29" style="1" hidden="1" customWidth="1"/>
    <col min="170" max="170" width="50.109375" style="1" hidden="1" customWidth="1"/>
    <col min="171" max="171" width="42.33203125" style="1" hidden="1" customWidth="1"/>
    <col min="172" max="173" width="24.6640625" style="1" hidden="1" customWidth="1"/>
    <col min="174" max="174" width="15.88671875" style="1" hidden="1" customWidth="1"/>
    <col min="175" max="175" width="15" style="1" hidden="1" customWidth="1"/>
    <col min="176" max="176" width="17.109375" style="1" hidden="1" customWidth="1"/>
    <col min="177" max="177" width="13.5546875" style="1" hidden="1" customWidth="1"/>
    <col min="178" max="178" width="21.88671875" style="1" hidden="1" customWidth="1"/>
    <col min="179" max="179" width="22.5546875" style="1" hidden="1" customWidth="1"/>
    <col min="180" max="180" width="28.109375" style="1" hidden="1" customWidth="1"/>
    <col min="181" max="181" width="26.6640625" style="1" hidden="1" customWidth="1"/>
    <col min="182" max="182" width="37.44140625" style="1" hidden="1" customWidth="1"/>
    <col min="183" max="183" width="40.44140625" style="1" hidden="1" customWidth="1"/>
    <col min="184" max="184" width="31.6640625" style="1" hidden="1" customWidth="1"/>
    <col min="185" max="185" width="32.88671875" style="1" hidden="1" customWidth="1"/>
    <col min="186" max="186" width="53.109375" style="1" hidden="1" customWidth="1"/>
    <col min="187" max="187" width="19.88671875" style="1" hidden="1" customWidth="1"/>
    <col min="188" max="188" width="38.88671875" style="1" hidden="1" customWidth="1"/>
    <col min="189" max="189" width="41" style="1" hidden="1" customWidth="1"/>
    <col min="190" max="190" width="54.109375" style="1" hidden="1" customWidth="1"/>
    <col min="191" max="191" width="54.44140625" style="1" hidden="1" customWidth="1"/>
    <col min="192" max="192" width="40.6640625" style="1" hidden="1" customWidth="1"/>
    <col min="193" max="194" width="27.5546875" style="1" hidden="1" customWidth="1"/>
    <col min="195" max="195" width="29.6640625" style="1" hidden="1" customWidth="1"/>
    <col min="196" max="196" width="38.109375" style="1" hidden="1" customWidth="1"/>
    <col min="197" max="197" width="58.88671875" style="1" hidden="1" customWidth="1"/>
    <col min="198" max="198" width="29.6640625" style="1" hidden="1" customWidth="1"/>
    <col min="199" max="199" width="30.109375" style="1" hidden="1" customWidth="1"/>
    <col min="200" max="200" width="31.109375" style="1" hidden="1" customWidth="1"/>
    <col min="201" max="201" width="32" style="1" hidden="1" customWidth="1"/>
    <col min="202" max="202" width="27" style="1" hidden="1" customWidth="1"/>
    <col min="203" max="203" width="29.6640625" style="1" hidden="1" customWidth="1"/>
    <col min="204" max="204" width="28.33203125" style="1" hidden="1" customWidth="1"/>
    <col min="205" max="205" width="31.5546875" style="1" hidden="1" customWidth="1"/>
    <col min="206" max="206" width="24.6640625" style="1" hidden="1" customWidth="1"/>
    <col min="207" max="207" width="67.33203125" style="1" hidden="1" customWidth="1"/>
    <col min="208" max="208" width="29.6640625" style="1" hidden="1" customWidth="1"/>
    <col min="209" max="209" width="30.109375" style="1" hidden="1" customWidth="1"/>
    <col min="210" max="210" width="31.109375" style="1" hidden="1" customWidth="1"/>
    <col min="211" max="211" width="32" style="1" hidden="1" customWidth="1"/>
    <col min="212" max="212" width="27" style="1" hidden="1" customWidth="1"/>
    <col min="213" max="213" width="29.6640625" style="1" hidden="1" customWidth="1"/>
    <col min="214" max="214" width="28.33203125" style="1" hidden="1" customWidth="1"/>
    <col min="215" max="215" width="27.88671875" style="1" hidden="1" customWidth="1"/>
    <col min="216" max="216" width="28.6640625" style="1" hidden="1" customWidth="1"/>
    <col min="217" max="217" width="27.33203125" style="1" hidden="1" customWidth="1"/>
    <col min="218" max="218" width="28" style="1" hidden="1" customWidth="1"/>
    <col min="219" max="219" width="30.109375" style="1" hidden="1" customWidth="1"/>
    <col min="220" max="220" width="35.5546875" style="1" hidden="1" customWidth="1"/>
    <col min="221" max="221" width="31.5546875" style="1" hidden="1" customWidth="1"/>
    <col min="222" max="222" width="15" style="1" hidden="1" customWidth="1"/>
    <col min="223" max="223" width="55.5546875" style="1" hidden="1" customWidth="1"/>
    <col min="224" max="224" width="30.6640625" style="1" hidden="1" customWidth="1"/>
    <col min="225" max="225" width="31.109375" style="1" hidden="1" customWidth="1"/>
    <col min="226" max="226" width="32.33203125" style="1" hidden="1" customWidth="1"/>
    <col min="227" max="227" width="33" style="1" hidden="1" customWidth="1"/>
    <col min="228" max="228" width="28.109375" style="1" hidden="1" customWidth="1"/>
    <col min="229" max="229" width="30.6640625" style="1" hidden="1" customWidth="1"/>
    <col min="230" max="230" width="29.33203125" style="1" hidden="1" customWidth="1"/>
    <col min="231" max="231" width="28.88671875" style="1" hidden="1" customWidth="1"/>
    <col min="232" max="232" width="29.6640625" style="1" hidden="1" customWidth="1"/>
    <col min="233" max="233" width="28.44140625" style="1" hidden="1" customWidth="1"/>
    <col min="234" max="234" width="29" style="1" hidden="1" customWidth="1"/>
    <col min="235" max="235" width="31.109375" style="1" hidden="1" customWidth="1"/>
    <col min="236" max="236" width="36.6640625" style="1" hidden="1" customWidth="1"/>
    <col min="237" max="243" width="34.109375" style="1" hidden="1" customWidth="1"/>
    <col min="244" max="244" width="29.33203125" style="1" hidden="1" customWidth="1"/>
    <col min="245" max="250" width="15" style="1" hidden="1" customWidth="1"/>
    <col min="251" max="251" width="49.5546875" style="1" hidden="1" customWidth="1"/>
    <col min="252" max="252" width="51.5546875" style="1" hidden="1" customWidth="1"/>
    <col min="253" max="253" width="48.33203125" style="1" hidden="1" customWidth="1"/>
    <col min="254" max="254" width="47.44140625" style="1" hidden="1" customWidth="1"/>
    <col min="255" max="255" width="43.6640625" style="1" hidden="1" customWidth="1"/>
    <col min="256" max="256" width="51.33203125" style="1" hidden="1" customWidth="1"/>
    <col min="257" max="257" width="79" style="1" hidden="1" customWidth="1"/>
    <col min="258" max="258" width="57.88671875" style="1" hidden="1" customWidth="1"/>
    <col min="259" max="259" width="32.44140625" style="1" hidden="1" customWidth="1"/>
    <col min="260" max="260" width="81.109375" style="1" hidden="1" customWidth="1"/>
    <col min="261" max="261" width="53.6640625" style="1" hidden="1" customWidth="1"/>
    <col min="262" max="262" width="26.33203125" style="1" hidden="1" customWidth="1"/>
    <col min="263" max="263" width="24.6640625" style="1" hidden="1" customWidth="1"/>
    <col min="264" max="264" width="29.88671875" style="1" hidden="1" customWidth="1"/>
    <col min="265" max="265" width="26.6640625" style="1" hidden="1" customWidth="1"/>
    <col min="266" max="266" width="25" style="1" hidden="1" customWidth="1"/>
    <col min="267" max="267" width="30.33203125" style="1" hidden="1" customWidth="1"/>
    <col min="268" max="268" width="41.88671875" style="1" hidden="1" customWidth="1"/>
    <col min="269" max="269" width="44" style="1" hidden="1" customWidth="1"/>
    <col min="270" max="270" width="25.6640625" style="1" hidden="1" customWidth="1"/>
    <col min="271" max="271" width="30.88671875" style="1" hidden="1" customWidth="1"/>
    <col min="272" max="272" width="44.5546875" style="1" hidden="1" customWidth="1"/>
    <col min="273" max="273" width="26" style="1" hidden="1" customWidth="1"/>
    <col min="274" max="274" width="43.5546875" style="1" hidden="1" customWidth="1"/>
    <col min="275" max="275" width="47.109375" style="1" hidden="1" customWidth="1"/>
    <col min="276" max="276" width="9.6640625" style="1" hidden="1" customWidth="1"/>
    <col min="277" max="277" width="16.44140625" style="1" hidden="1" customWidth="1"/>
    <col min="278" max="278" width="15.5546875" style="1" hidden="1" customWidth="1"/>
    <col min="279" max="279" width="23.6640625" style="1" hidden="1" customWidth="1"/>
    <col min="280" max="280" width="18" style="1" hidden="1" customWidth="1"/>
    <col min="281" max="281" width="43.6640625" style="1" hidden="1" customWidth="1"/>
    <col min="282" max="282" width="28" style="1" hidden="1" customWidth="1"/>
    <col min="283" max="283" width="33.5546875" style="1" hidden="1" customWidth="1"/>
    <col min="284" max="284" width="34" style="1" hidden="1" customWidth="1"/>
    <col min="285" max="285" width="29.88671875" style="1" hidden="1" customWidth="1"/>
    <col min="286" max="286" width="81.109375" style="1" hidden="1" customWidth="1"/>
    <col min="287" max="287" width="35.88671875" style="1" hidden="1" customWidth="1"/>
    <col min="288" max="288" width="41.109375" style="1" hidden="1" customWidth="1"/>
    <col min="289" max="289" width="27.44140625" style="1" hidden="1" customWidth="1"/>
    <col min="290" max="290" width="29.6640625" style="1" hidden="1" customWidth="1"/>
    <col min="291" max="291" width="81.109375" style="1" hidden="1" customWidth="1"/>
    <col min="292" max="292" width="36.44140625" style="1" hidden="1" customWidth="1"/>
    <col min="293" max="293" width="42" style="1" hidden="1" customWidth="1"/>
    <col min="294" max="294" width="27.109375" style="1" hidden="1" customWidth="1"/>
    <col min="295" max="295" width="58.88671875" style="1" hidden="1" customWidth="1"/>
    <col min="296" max="296" width="26.44140625" style="1" hidden="1" customWidth="1"/>
    <col min="297" max="297" width="41.6640625" style="1" hidden="1" customWidth="1"/>
    <col min="298" max="298" width="51.6640625" style="1" hidden="1" customWidth="1"/>
    <col min="299" max="299" width="57.88671875" style="1" hidden="1" customWidth="1"/>
    <col min="300" max="300" width="53.33203125" style="1" hidden="1" customWidth="1"/>
    <col min="301" max="301" width="20.5546875" style="1" hidden="1" customWidth="1"/>
    <col min="302" max="302" width="52.44140625" style="1" hidden="1" customWidth="1"/>
    <col min="303" max="303" width="21" style="1" hidden="1" customWidth="1"/>
    <col min="304" max="304" width="52" style="1" hidden="1" customWidth="1"/>
    <col min="305" max="305" width="20.5546875" style="1" hidden="1" customWidth="1"/>
    <col min="306" max="306" width="49" style="1" hidden="1" customWidth="1"/>
    <col min="307" max="307" width="21.88671875" style="1" hidden="1" customWidth="1"/>
    <col min="308" max="308" width="40.6640625" style="1" hidden="1" customWidth="1"/>
    <col min="309" max="309" width="24.5546875" style="1" hidden="1" customWidth="1"/>
    <col min="310" max="310" width="69.33203125" style="1" hidden="1" customWidth="1"/>
    <col min="311" max="311" width="67" style="1" hidden="1" customWidth="1"/>
    <col min="312" max="312" width="27.5546875" style="1" hidden="1" customWidth="1"/>
    <col min="313" max="313" width="28.44140625" style="1" hidden="1" customWidth="1"/>
    <col min="314" max="314" width="34.44140625" style="1" hidden="1" customWidth="1"/>
    <col min="315" max="315" width="29.88671875" style="1" hidden="1" customWidth="1"/>
    <col min="316" max="316" width="26.88671875" style="1" hidden="1" customWidth="1"/>
    <col min="317" max="317" width="26.44140625" style="1" hidden="1" customWidth="1"/>
    <col min="318" max="318" width="28.109375" style="1" hidden="1" customWidth="1"/>
    <col min="319" max="319" width="43.6640625" style="1" hidden="1" customWidth="1"/>
    <col min="320" max="320" width="46.6640625" style="1" hidden="1" customWidth="1"/>
    <col min="321" max="321" width="37.33203125" style="1" hidden="1" customWidth="1"/>
    <col min="322" max="322" width="36.5546875" style="1" hidden="1" customWidth="1"/>
    <col min="323" max="323" width="33.88671875" style="1" hidden="1" customWidth="1"/>
    <col min="324" max="324" width="33.33203125" style="1" hidden="1" customWidth="1"/>
    <col min="325" max="325" width="35.33203125" style="1" hidden="1" customWidth="1"/>
    <col min="326" max="326" width="33.44140625" style="1" hidden="1" customWidth="1"/>
    <col min="327" max="327" width="38.33203125" style="1" hidden="1" customWidth="1"/>
    <col min="328" max="328" width="26.5546875" style="1" hidden="1" customWidth="1"/>
    <col min="329" max="329" width="25.88671875" style="1" hidden="1" customWidth="1"/>
    <col min="330" max="330" width="25.6640625" style="1" hidden="1" customWidth="1"/>
    <col min="331" max="331" width="26.88671875" style="1" hidden="1" customWidth="1"/>
    <col min="332" max="332" width="26.6640625" style="1" hidden="1" customWidth="1"/>
    <col min="333" max="333" width="26.88671875" style="1" hidden="1" customWidth="1"/>
    <col min="334" max="334" width="26.6640625" style="1" hidden="1" customWidth="1"/>
    <col min="335" max="335" width="26.88671875" style="1" hidden="1" customWidth="1"/>
    <col min="336" max="336" width="27.88671875" style="1" hidden="1" customWidth="1"/>
    <col min="337" max="337" width="21.44140625" style="1" hidden="1" customWidth="1"/>
    <col min="338" max="338" width="21.5546875" style="1" hidden="1" customWidth="1"/>
    <col min="339" max="339" width="47.88671875" style="1" hidden="1" customWidth="1"/>
    <col min="340" max="340" width="53.5546875" style="1" hidden="1" customWidth="1"/>
    <col min="341" max="341" width="55.44140625" style="1" hidden="1" customWidth="1"/>
    <col min="342" max="342" width="26.5546875" style="1" hidden="1" customWidth="1"/>
    <col min="343" max="343" width="45.44140625" style="1" hidden="1" customWidth="1"/>
    <col min="344" max="344" width="37.5546875" style="1" hidden="1" customWidth="1"/>
    <col min="345" max="345" width="46.44140625" style="1" hidden="1" customWidth="1"/>
    <col min="346" max="346" width="49.33203125" style="1" hidden="1" customWidth="1"/>
    <col min="347" max="347" width="18.109375" style="1" hidden="1" customWidth="1"/>
    <col min="348" max="348" width="23.44140625" style="1" hidden="1" customWidth="1"/>
    <col min="349" max="349" width="21.88671875" style="1" hidden="1" customWidth="1"/>
    <col min="350" max="350" width="27.88671875" style="1" hidden="1" customWidth="1"/>
    <col min="351" max="351" width="35" style="1" hidden="1" customWidth="1"/>
    <col min="352" max="352" width="29.109375" style="1" hidden="1" customWidth="1"/>
    <col min="353" max="353" width="81.109375" style="1" hidden="1" customWidth="1"/>
    <col min="354" max="354" width="29.109375" style="1" hidden="1" customWidth="1"/>
    <col min="355" max="355" width="32.5546875" style="1" hidden="1" customWidth="1"/>
    <col min="356" max="356" width="29.109375" style="1" hidden="1" customWidth="1"/>
    <col min="357" max="357" width="32.5546875" style="1" hidden="1" customWidth="1"/>
    <col min="358" max="358" width="12.44140625" style="1" hidden="1" customWidth="1"/>
    <col min="359" max="359" width="33.5546875" style="1" hidden="1" customWidth="1"/>
    <col min="360" max="360" width="39" style="1" hidden="1" customWidth="1"/>
    <col min="361" max="361" width="45" style="1" hidden="1" customWidth="1"/>
    <col min="362" max="362" width="74" style="1" hidden="1" customWidth="1"/>
    <col min="363" max="363" width="81.109375" style="1" hidden="1" customWidth="1"/>
    <col min="364" max="364" width="28.88671875" style="1" hidden="1" customWidth="1"/>
    <col min="365" max="365" width="34.44140625" style="1" hidden="1" customWidth="1"/>
    <col min="366" max="366" width="76.109375" style="1" hidden="1" customWidth="1"/>
    <col min="367" max="367" width="22.44140625" style="1" hidden="1" customWidth="1"/>
    <col min="368" max="368" width="24" style="1" hidden="1" customWidth="1"/>
    <col min="369" max="369" width="63.44140625" style="1" hidden="1" customWidth="1"/>
    <col min="370" max="371" width="63.88671875" style="1" hidden="1" customWidth="1"/>
    <col min="372" max="372" width="64.109375" style="1" hidden="1" customWidth="1"/>
    <col min="373" max="373" width="65.88671875" style="1" hidden="1" customWidth="1"/>
    <col min="374" max="374" width="60.5546875" style="1" hidden="1" customWidth="1"/>
    <col min="375" max="375" width="53.5546875" style="1" hidden="1" customWidth="1"/>
    <col min="376" max="377" width="54" style="1" hidden="1" customWidth="1"/>
    <col min="378" max="379" width="56.33203125" style="1" hidden="1" customWidth="1"/>
    <col min="380" max="380" width="40.5546875" style="1" hidden="1" customWidth="1"/>
    <col min="381" max="381" width="81.109375" style="1" hidden="1" customWidth="1"/>
    <col min="382" max="383" width="47.6640625" style="1" hidden="1" customWidth="1"/>
    <col min="384" max="385" width="56.33203125" style="1" hidden="1" customWidth="1"/>
    <col min="386" max="386" width="47.6640625" style="1" hidden="1" customWidth="1"/>
    <col min="387" max="387" width="40.5546875" style="1" hidden="1" customWidth="1"/>
    <col min="388" max="388" width="58.44140625" style="1" hidden="1" customWidth="1"/>
    <col min="389" max="389" width="41" style="1" hidden="1" customWidth="1"/>
    <col min="390" max="390" width="9.5546875" style="1" hidden="1" customWidth="1"/>
    <col min="391" max="391" width="14.33203125" style="1" hidden="1" customWidth="1"/>
    <col min="392" max="392" width="19.6640625" style="1" hidden="1" customWidth="1"/>
    <col min="393" max="393" width="21.44140625" style="1" hidden="1" customWidth="1"/>
    <col min="394" max="394" width="13.6640625" style="1" hidden="1" customWidth="1"/>
    <col min="395" max="395" width="11.44140625" style="1" hidden="1" customWidth="1"/>
    <col min="396" max="396" width="54.5546875" style="1" hidden="1" customWidth="1"/>
    <col min="397" max="397" width="81.109375" style="1" hidden="1" customWidth="1"/>
    <col min="398" max="398" width="46.88671875" style="1" hidden="1" customWidth="1"/>
    <col min="399" max="399" width="52" style="1" hidden="1" customWidth="1"/>
    <col min="400" max="400" width="49" style="1" hidden="1" customWidth="1"/>
    <col min="401" max="401" width="24.33203125" style="1" hidden="1" customWidth="1"/>
    <col min="402" max="402" width="58.5546875" style="1" hidden="1" customWidth="1"/>
    <col min="403" max="403" width="58.88671875" style="1" hidden="1" customWidth="1"/>
    <col min="404" max="404" width="50" style="1" hidden="1" customWidth="1"/>
    <col min="405" max="405" width="44.109375" style="1" hidden="1" customWidth="1"/>
    <col min="406" max="406" width="81.109375" style="1" hidden="1" customWidth="1"/>
    <col min="407" max="407" width="9.5546875" style="1" hidden="1" customWidth="1"/>
    <col min="408" max="408" width="9.109375" style="1" hidden="1" customWidth="1"/>
    <col min="409" max="409" width="36.44140625" style="1" hidden="1" customWidth="1"/>
    <col min="410" max="410" width="45" style="1" hidden="1" customWidth="1"/>
    <col min="411" max="411" width="49.5546875" style="1" hidden="1" customWidth="1"/>
    <col min="412" max="412" width="38.88671875" style="1" hidden="1" customWidth="1"/>
    <col min="413" max="413" width="48.88671875" style="1" hidden="1" customWidth="1"/>
    <col min="414" max="414" width="81.109375" style="1" hidden="1" customWidth="1"/>
    <col min="415" max="415" width="54.33203125" style="1" hidden="1" customWidth="1"/>
    <col min="416" max="416" width="37.6640625" style="1" hidden="1" customWidth="1"/>
    <col min="417" max="417" width="40" style="1" hidden="1" customWidth="1"/>
    <col min="418" max="418" width="26.6640625" style="1" hidden="1" customWidth="1"/>
    <col min="419" max="419" width="36.33203125" style="1" hidden="1" customWidth="1"/>
    <col min="420" max="420" width="28.6640625" style="1" hidden="1" customWidth="1"/>
    <col min="421" max="421" width="27.44140625" style="1" hidden="1" customWidth="1"/>
    <col min="422" max="422" width="20.5546875" style="1" hidden="1" customWidth="1"/>
    <col min="423" max="423" width="38.33203125" style="1" hidden="1" customWidth="1"/>
    <col min="424" max="424" width="40.6640625" style="1" hidden="1" customWidth="1"/>
    <col min="425" max="425" width="27.33203125" style="1" hidden="1" customWidth="1"/>
    <col min="426" max="426" width="31.5546875" style="1" hidden="1" customWidth="1"/>
    <col min="427" max="427" width="43" style="1" hidden="1" customWidth="1"/>
    <col min="428" max="428" width="26.88671875" style="1" hidden="1" customWidth="1"/>
    <col min="429" max="429" width="31.109375" style="1" hidden="1" customWidth="1"/>
    <col min="430" max="430" width="36.88671875" style="1" hidden="1" customWidth="1"/>
    <col min="431" max="431" width="29.6640625" style="1" hidden="1" customWidth="1"/>
    <col min="432" max="432" width="31.109375" style="1" hidden="1" customWidth="1"/>
    <col min="433" max="433" width="21.109375" style="1" hidden="1" customWidth="1"/>
    <col min="434" max="434" width="59.33203125" style="1" hidden="1" customWidth="1"/>
    <col min="435" max="435" width="16.88671875" style="1" hidden="1" customWidth="1"/>
    <col min="436" max="436" width="61.5546875" style="1" hidden="1" customWidth="1"/>
    <col min="437" max="437" width="55.33203125" style="1" hidden="1" customWidth="1"/>
    <col min="438" max="438" width="48.5546875" style="1" hidden="1" customWidth="1"/>
    <col min="439" max="439" width="21.33203125" style="1" hidden="1" customWidth="1"/>
    <col min="440" max="440" width="23.44140625" style="1" hidden="1" customWidth="1"/>
    <col min="441" max="441" width="43.5546875" style="1" hidden="1" customWidth="1"/>
    <col min="442" max="442" width="8.5546875" style="1" hidden="1" customWidth="1"/>
    <col min="443" max="443" width="22.44140625" style="1" hidden="1" customWidth="1"/>
    <col min="444" max="444" width="10.44140625" style="1" hidden="1" customWidth="1"/>
    <col min="445" max="445" width="15.5546875" style="1" hidden="1" customWidth="1"/>
    <col min="446" max="446" width="17" style="1" hidden="1" customWidth="1"/>
    <col min="447" max="447" width="32.6640625" style="1" hidden="1" customWidth="1"/>
    <col min="448" max="448" width="40" style="1" hidden="1" customWidth="1"/>
    <col min="449" max="449" width="31.5546875" style="1" hidden="1" customWidth="1"/>
    <col min="450" max="450" width="61.5546875" style="1" hidden="1" customWidth="1"/>
    <col min="451" max="451" width="60.44140625" style="1" hidden="1" customWidth="1"/>
    <col min="452" max="452" width="64.44140625" style="1" hidden="1" customWidth="1"/>
    <col min="453" max="453" width="79" style="1" hidden="1" customWidth="1"/>
    <col min="454" max="454" width="49" style="1" hidden="1" customWidth="1"/>
    <col min="455" max="456" width="81.109375" style="1" hidden="1" customWidth="1"/>
    <col min="457" max="457" width="65.109375" style="1" hidden="1" customWidth="1"/>
    <col min="458" max="458" width="51.5546875" style="1" hidden="1" customWidth="1"/>
    <col min="459" max="459" width="41" style="1" hidden="1" customWidth="1"/>
    <col min="460" max="460" width="65.33203125" style="1" hidden="1" customWidth="1"/>
    <col min="461" max="461" width="11" style="1" hidden="1" customWidth="1"/>
    <col min="462" max="464" width="81.109375" style="1" hidden="1" customWidth="1"/>
    <col min="465" max="465" width="73.6640625" style="1" hidden="1" customWidth="1"/>
    <col min="466" max="466" width="71.5546875" style="1" hidden="1" customWidth="1"/>
    <col min="467" max="469" width="81.109375" style="1" hidden="1" customWidth="1"/>
    <col min="470" max="470" width="42.33203125" style="1" hidden="1" customWidth="1"/>
    <col min="471" max="471" width="35.33203125" style="1" hidden="1" customWidth="1"/>
    <col min="472" max="472" width="81.109375" style="1" hidden="1" customWidth="1"/>
    <col min="473" max="473" width="62.33203125" style="1" hidden="1" customWidth="1"/>
    <col min="474" max="477" width="81.109375" style="1" hidden="1" customWidth="1"/>
    <col min="478" max="478" width="80.44140625" style="1" hidden="1" customWidth="1"/>
    <col min="479" max="483" width="81.109375" style="1" hidden="1" customWidth="1"/>
    <col min="484" max="484" width="11" style="1" hidden="1" customWidth="1"/>
    <col min="485" max="485" width="79.109375" style="1" hidden="1" customWidth="1"/>
    <col min="486" max="492" width="81.109375" style="1" hidden="1" customWidth="1"/>
    <col min="493" max="493" width="38.44140625" style="1" hidden="1" customWidth="1"/>
    <col min="494" max="494" width="19.6640625" style="1" hidden="1" customWidth="1"/>
    <col min="495" max="495" width="9.33203125" style="1" hidden="1" customWidth="1"/>
    <col min="496" max="16384" width="9.109375" style="1" hidden="1"/>
  </cols>
  <sheetData>
    <row r="1" spans="2:14" ht="11.25" customHeight="1" x14ac:dyDescent="0.3">
      <c r="C1" s="2"/>
    </row>
    <row r="2" spans="2:14" ht="16.8" x14ac:dyDescent="0.3">
      <c r="B2" s="3"/>
      <c r="C2" s="4"/>
      <c r="D2" s="5"/>
      <c r="F2" s="1" t="s">
        <v>0</v>
      </c>
    </row>
    <row r="3" spans="2:14" ht="16.8" x14ac:dyDescent="0.3">
      <c r="B3" s="3"/>
      <c r="C3" s="4"/>
      <c r="D3" s="5"/>
      <c r="F3" s="1" t="s">
        <v>1</v>
      </c>
    </row>
    <row r="4" spans="2:14" ht="39.6" x14ac:dyDescent="0.3">
      <c r="B4" s="3"/>
      <c r="C4" s="4"/>
      <c r="D4" s="5"/>
      <c r="F4" s="6" t="s">
        <v>129</v>
      </c>
    </row>
    <row r="5" spans="2:14" ht="24.6" x14ac:dyDescent="0.3">
      <c r="B5" s="3"/>
      <c r="C5" s="4"/>
      <c r="D5" s="5"/>
      <c r="F5" s="7"/>
      <c r="G5" s="8"/>
      <c r="H5" s="8"/>
      <c r="I5" s="8"/>
      <c r="J5" s="8"/>
      <c r="K5" s="8"/>
      <c r="L5" s="8"/>
      <c r="M5" s="8"/>
      <c r="N5" s="8"/>
    </row>
    <row r="6" spans="2:14" ht="8.25" customHeight="1" x14ac:dyDescent="0.3">
      <c r="B6" s="3"/>
      <c r="C6" s="4"/>
      <c r="D6" s="5"/>
      <c r="F6" s="9"/>
    </row>
    <row r="7" spans="2:14" ht="9.75" customHeight="1" x14ac:dyDescent="0.3">
      <c r="B7" s="3"/>
      <c r="C7" s="4"/>
      <c r="D7" s="5"/>
      <c r="F7" s="10"/>
      <c r="G7" s="10"/>
      <c r="H7" s="10"/>
      <c r="I7" s="10"/>
      <c r="J7" s="10"/>
      <c r="K7" s="10"/>
      <c r="L7" s="10"/>
      <c r="M7" s="10"/>
      <c r="N7" s="10"/>
    </row>
    <row r="8" spans="2:14" ht="19.2" x14ac:dyDescent="0.3">
      <c r="B8" s="3"/>
      <c r="C8" s="4"/>
      <c r="D8" s="5"/>
      <c r="F8" s="10"/>
      <c r="G8" s="11" t="s">
        <v>2</v>
      </c>
      <c r="H8" s="10"/>
      <c r="I8" s="10"/>
      <c r="J8" s="10"/>
      <c r="K8" s="10"/>
      <c r="L8" s="10"/>
      <c r="M8" s="10"/>
      <c r="N8" s="10"/>
    </row>
    <row r="9" spans="2:14" ht="16.8" x14ac:dyDescent="0.3">
      <c r="B9" s="3"/>
      <c r="C9" s="4"/>
      <c r="D9" s="5"/>
      <c r="F9" s="10"/>
      <c r="G9" s="24" t="s">
        <v>3</v>
      </c>
      <c r="H9" s="25" t="s">
        <v>4</v>
      </c>
      <c r="I9" s="32" t="s">
        <v>5</v>
      </c>
      <c r="J9" s="12"/>
      <c r="K9" s="24" t="s">
        <v>11</v>
      </c>
      <c r="L9" s="29" t="s">
        <v>234</v>
      </c>
      <c r="M9" s="10"/>
      <c r="N9" s="10"/>
    </row>
    <row r="10" spans="2:14" ht="16.8" x14ac:dyDescent="0.3">
      <c r="B10" s="3"/>
      <c r="C10" s="4"/>
      <c r="D10" s="5"/>
      <c r="F10" s="10"/>
      <c r="G10" s="34" t="s">
        <v>12</v>
      </c>
      <c r="H10" s="37" t="s">
        <v>13</v>
      </c>
      <c r="I10" s="32"/>
      <c r="J10" s="12"/>
      <c r="K10" s="24" t="s">
        <v>7</v>
      </c>
      <c r="L10" s="16">
        <v>45603</v>
      </c>
      <c r="M10" s="10"/>
      <c r="N10" s="10"/>
    </row>
    <row r="11" spans="2:14" ht="16.8" x14ac:dyDescent="0.3">
      <c r="B11" s="3"/>
      <c r="C11" s="4"/>
      <c r="D11" s="5"/>
      <c r="F11" s="10"/>
      <c r="G11" s="34"/>
      <c r="H11" s="37"/>
      <c r="I11" s="32"/>
      <c r="J11" s="12"/>
      <c r="K11" s="10"/>
      <c r="L11" s="13"/>
      <c r="M11" s="10"/>
      <c r="N11" s="10"/>
    </row>
    <row r="12" spans="2:14" ht="16.8" x14ac:dyDescent="0.3">
      <c r="B12" s="3"/>
      <c r="C12" s="4"/>
      <c r="D12" s="5"/>
      <c r="F12" s="10"/>
      <c r="G12" s="30"/>
      <c r="H12" s="30"/>
      <c r="I12" s="32"/>
      <c r="J12" s="12"/>
      <c r="K12" s="17"/>
      <c r="L12" s="14"/>
      <c r="M12" s="10"/>
      <c r="N12" s="10"/>
    </row>
    <row r="13" spans="2:14" ht="16.8" x14ac:dyDescent="0.3">
      <c r="B13" s="3"/>
      <c r="C13" s="4"/>
      <c r="D13" s="5"/>
      <c r="F13" s="10"/>
      <c r="G13" s="33"/>
      <c r="H13" s="31"/>
      <c r="I13" s="10"/>
      <c r="J13" s="10"/>
      <c r="K13" s="10"/>
      <c r="L13" s="10"/>
      <c r="M13" s="10"/>
      <c r="N13" s="15" t="s">
        <v>6</v>
      </c>
    </row>
    <row r="14" spans="2:14" ht="8.25" customHeight="1" x14ac:dyDescent="0.3">
      <c r="B14" s="3"/>
      <c r="C14" s="4"/>
      <c r="D14" s="5"/>
      <c r="F14" s="30"/>
      <c r="G14" s="33"/>
      <c r="H14" s="30"/>
      <c r="I14" s="30"/>
      <c r="J14" s="30"/>
      <c r="K14" s="30"/>
      <c r="L14" s="30"/>
      <c r="M14" s="30"/>
      <c r="N14" s="30"/>
    </row>
    <row r="15" spans="2:14" ht="16.8" x14ac:dyDescent="0.3">
      <c r="B15" s="3"/>
      <c r="C15" s="4"/>
      <c r="D15" s="5"/>
      <c r="F15" s="1" t="s">
        <v>130</v>
      </c>
    </row>
    <row r="16" spans="2:14" ht="18.75" customHeight="1" x14ac:dyDescent="0.3">
      <c r="B16" s="3"/>
      <c r="C16" s="4"/>
      <c r="D16" s="5"/>
      <c r="F16" s="35" t="s">
        <v>14</v>
      </c>
      <c r="G16" s="35"/>
      <c r="H16" s="35"/>
      <c r="I16" s="35"/>
      <c r="J16" s="35"/>
      <c r="K16" s="35"/>
      <c r="L16" s="35"/>
      <c r="M16" s="35"/>
      <c r="N16" s="35"/>
    </row>
    <row r="17" spans="2:14" ht="18.75" customHeight="1" x14ac:dyDescent="0.3">
      <c r="B17" s="3"/>
      <c r="C17" s="4"/>
      <c r="D17" s="5"/>
      <c r="F17" s="36"/>
      <c r="G17" s="36"/>
      <c r="H17" s="36"/>
      <c r="I17" s="36"/>
      <c r="J17" s="36"/>
      <c r="K17" s="36"/>
      <c r="L17" s="36"/>
      <c r="M17" s="36"/>
      <c r="N17" s="36"/>
    </row>
    <row r="18" spans="2:14" ht="18.75" customHeight="1" x14ac:dyDescent="0.3">
      <c r="B18" s="3"/>
      <c r="C18" s="4"/>
      <c r="D18" s="5"/>
      <c r="F18" s="36"/>
      <c r="G18" s="36"/>
      <c r="H18" s="36"/>
      <c r="I18" s="36"/>
      <c r="J18" s="36"/>
      <c r="K18" s="36"/>
      <c r="L18" s="36"/>
      <c r="M18" s="36"/>
      <c r="N18" s="36"/>
    </row>
    <row r="19" spans="2:14" ht="18.75" customHeight="1" x14ac:dyDescent="0.3">
      <c r="B19" s="3"/>
      <c r="C19" s="4"/>
      <c r="D19" s="5"/>
      <c r="F19" s="36"/>
      <c r="G19" s="36"/>
      <c r="H19" s="36"/>
      <c r="I19" s="36"/>
      <c r="J19" s="36"/>
      <c r="K19" s="36"/>
      <c r="L19" s="36"/>
      <c r="M19" s="36"/>
      <c r="N19" s="36"/>
    </row>
    <row r="20" spans="2:14" ht="18.75" customHeight="1" x14ac:dyDescent="0.3">
      <c r="B20" s="3"/>
      <c r="C20" s="4"/>
      <c r="D20" s="5"/>
      <c r="F20" s="36"/>
      <c r="G20" s="36"/>
      <c r="H20" s="36"/>
      <c r="I20" s="36"/>
      <c r="J20" s="36"/>
      <c r="K20" s="36"/>
      <c r="L20" s="36"/>
      <c r="M20" s="36"/>
      <c r="N20" s="36"/>
    </row>
    <row r="21" spans="2:14" ht="18.75" customHeight="1" x14ac:dyDescent="0.3">
      <c r="B21" s="3"/>
      <c r="C21" s="4"/>
      <c r="D21" s="5"/>
      <c r="F21" s="36"/>
      <c r="G21" s="36"/>
      <c r="H21" s="36"/>
      <c r="I21" s="36"/>
      <c r="J21" s="36"/>
      <c r="K21" s="36"/>
      <c r="L21" s="36"/>
      <c r="M21" s="36"/>
      <c r="N21" s="36"/>
    </row>
    <row r="22" spans="2:14" ht="18.75" customHeight="1" x14ac:dyDescent="0.3">
      <c r="B22" s="3"/>
      <c r="C22" s="4"/>
      <c r="D22" s="5"/>
      <c r="F22" s="36"/>
      <c r="G22" s="36"/>
      <c r="H22" s="36"/>
      <c r="I22" s="36"/>
      <c r="J22" s="36"/>
      <c r="K22" s="36"/>
      <c r="L22" s="36"/>
      <c r="M22" s="36"/>
      <c r="N22" s="36"/>
    </row>
    <row r="23" spans="2:14" ht="16.5" customHeight="1" x14ac:dyDescent="0.3"/>
  </sheetData>
  <sheetProtection selectLockedCells="1" selectUnlockedCells="1"/>
  <mergeCells count="5">
    <mergeCell ref="I9:I12"/>
    <mergeCell ref="G13:G14"/>
    <mergeCell ref="G10:G11"/>
    <mergeCell ref="F16:N22"/>
    <mergeCell ref="H10:H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C364-5089-4B6D-8F44-8E8641867E92}">
  <dimension ref="B1:O940"/>
  <sheetViews>
    <sheetView showGridLines="0" topLeftCell="A51" zoomScaleNormal="100" workbookViewId="0">
      <selection activeCell="B26" sqref="B26:B83"/>
    </sheetView>
  </sheetViews>
  <sheetFormatPr defaultRowHeight="14.4" x14ac:dyDescent="0.3"/>
  <cols>
    <col min="1" max="1" width="1.88671875" customWidth="1"/>
    <col min="3" max="3" width="16" bestFit="1" customWidth="1"/>
    <col min="4" max="4" width="13.33203125" bestFit="1" customWidth="1"/>
    <col min="5" max="5" width="15.109375" bestFit="1" customWidth="1"/>
    <col min="6" max="6" width="14.6640625" customWidth="1"/>
    <col min="7" max="8" width="19.6640625" customWidth="1"/>
    <col min="9" max="10" width="16" style="22" customWidth="1"/>
    <col min="11" max="11" width="19.33203125" style="22" customWidth="1"/>
    <col min="12" max="12" width="22.33203125" style="22" customWidth="1"/>
    <col min="13" max="13" width="16.6640625" style="22" customWidth="1"/>
    <col min="14" max="14" width="16.109375" style="22" customWidth="1"/>
    <col min="15" max="15" width="8.88671875" style="22"/>
  </cols>
  <sheetData>
    <row r="1" spans="2:14" ht="4.95" customHeight="1" x14ac:dyDescent="0.3"/>
    <row r="2" spans="2:14" ht="33.6" x14ac:dyDescent="0.65">
      <c r="B2" s="19" t="s">
        <v>233</v>
      </c>
    </row>
    <row r="3" spans="2:14" ht="15.6" x14ac:dyDescent="0.3">
      <c r="B3" s="20" t="s">
        <v>128</v>
      </c>
      <c r="C3" s="21"/>
      <c r="D3" s="21"/>
      <c r="E3" s="21"/>
      <c r="F3" s="21"/>
      <c r="G3" s="21"/>
      <c r="H3" s="21"/>
      <c r="I3" s="23"/>
      <c r="J3" s="23"/>
      <c r="K3" s="23"/>
      <c r="L3" s="23"/>
    </row>
    <row r="4" spans="2:14" ht="9.6" customHeight="1" x14ac:dyDescent="0.3"/>
    <row r="5" spans="2:14" ht="46.5" customHeight="1" x14ac:dyDescent="0.3">
      <c r="B5" s="26" t="s">
        <v>8</v>
      </c>
      <c r="C5" s="26" t="s">
        <v>15</v>
      </c>
      <c r="D5" s="26" t="s">
        <v>16</v>
      </c>
      <c r="E5" s="26" t="s">
        <v>17</v>
      </c>
      <c r="F5" s="27" t="s">
        <v>9</v>
      </c>
      <c r="G5" s="27" t="s">
        <v>10</v>
      </c>
      <c r="H5" s="27" t="s">
        <v>18</v>
      </c>
      <c r="I5" s="28" t="s">
        <v>19</v>
      </c>
      <c r="J5" s="28" t="s">
        <v>131</v>
      </c>
      <c r="K5" s="28" t="s">
        <v>20</v>
      </c>
      <c r="L5" s="28" t="s">
        <v>21</v>
      </c>
      <c r="M5" s="28" t="s">
        <v>22</v>
      </c>
      <c r="N5" s="28" t="s">
        <v>23</v>
      </c>
    </row>
    <row r="6" spans="2:14" x14ac:dyDescent="0.3">
      <c r="B6" s="18">
        <v>1</v>
      </c>
      <c r="C6" t="s">
        <v>24</v>
      </c>
      <c r="D6" t="s">
        <v>25</v>
      </c>
      <c r="E6" t="s">
        <v>26</v>
      </c>
      <c r="F6" t="s">
        <v>132</v>
      </c>
      <c r="G6" t="s">
        <v>133</v>
      </c>
      <c r="H6" t="s">
        <v>134</v>
      </c>
      <c r="I6">
        <v>1453422</v>
      </c>
      <c r="J6">
        <v>246908</v>
      </c>
      <c r="K6">
        <v>972227</v>
      </c>
      <c r="L6">
        <v>887</v>
      </c>
      <c r="M6">
        <v>254</v>
      </c>
      <c r="N6">
        <v>0</v>
      </c>
    </row>
    <row r="7" spans="2:14" x14ac:dyDescent="0.3">
      <c r="B7" s="18">
        <v>2</v>
      </c>
      <c r="C7" t="s">
        <v>24</v>
      </c>
      <c r="D7" t="s">
        <v>30</v>
      </c>
      <c r="E7" t="s">
        <v>31</v>
      </c>
      <c r="F7" t="s">
        <v>132</v>
      </c>
      <c r="G7" t="s">
        <v>137</v>
      </c>
      <c r="H7" t="s">
        <v>138</v>
      </c>
      <c r="I7">
        <v>552194</v>
      </c>
      <c r="J7">
        <v>119333</v>
      </c>
      <c r="K7">
        <v>280954</v>
      </c>
      <c r="L7">
        <v>1723</v>
      </c>
      <c r="M7">
        <v>144</v>
      </c>
      <c r="N7">
        <v>141</v>
      </c>
    </row>
    <row r="8" spans="2:14" x14ac:dyDescent="0.3">
      <c r="B8" s="18">
        <v>3</v>
      </c>
      <c r="C8" t="s">
        <v>27</v>
      </c>
      <c r="D8" t="s">
        <v>28</v>
      </c>
      <c r="E8" t="s">
        <v>29</v>
      </c>
      <c r="F8" t="s">
        <v>135</v>
      </c>
      <c r="G8" t="s">
        <v>136</v>
      </c>
      <c r="H8" t="s">
        <v>136</v>
      </c>
      <c r="I8">
        <v>475463</v>
      </c>
      <c r="J8">
        <v>112076</v>
      </c>
      <c r="K8">
        <v>0</v>
      </c>
      <c r="L8">
        <v>0</v>
      </c>
      <c r="M8">
        <v>0</v>
      </c>
      <c r="N8">
        <v>100</v>
      </c>
    </row>
    <row r="9" spans="2:14" x14ac:dyDescent="0.3">
      <c r="B9" s="18">
        <v>4</v>
      </c>
      <c r="C9" t="s">
        <v>32</v>
      </c>
      <c r="D9" t="s">
        <v>35</v>
      </c>
      <c r="E9" t="s">
        <v>36</v>
      </c>
      <c r="F9" t="s">
        <v>139</v>
      </c>
      <c r="G9" t="s">
        <v>140</v>
      </c>
      <c r="H9" t="s">
        <v>141</v>
      </c>
      <c r="I9">
        <v>420602</v>
      </c>
      <c r="J9">
        <v>22271</v>
      </c>
      <c r="K9">
        <v>0</v>
      </c>
      <c r="L9">
        <v>0</v>
      </c>
      <c r="M9">
        <v>25</v>
      </c>
      <c r="N9">
        <v>3732</v>
      </c>
    </row>
    <row r="10" spans="2:14" x14ac:dyDescent="0.3">
      <c r="B10" s="18">
        <v>5</v>
      </c>
      <c r="C10" t="s">
        <v>32</v>
      </c>
      <c r="D10" t="s">
        <v>33</v>
      </c>
      <c r="E10" t="s">
        <v>34</v>
      </c>
      <c r="F10" t="s">
        <v>139</v>
      </c>
      <c r="G10" t="s">
        <v>142</v>
      </c>
      <c r="H10" t="s">
        <v>143</v>
      </c>
      <c r="I10">
        <v>397672</v>
      </c>
      <c r="J10">
        <v>119437</v>
      </c>
      <c r="K10">
        <v>187660</v>
      </c>
      <c r="L10">
        <v>0</v>
      </c>
      <c r="M10">
        <v>0</v>
      </c>
      <c r="N10">
        <v>0</v>
      </c>
    </row>
    <row r="11" spans="2:14" x14ac:dyDescent="0.3">
      <c r="B11" s="18">
        <v>6</v>
      </c>
      <c r="C11" t="s">
        <v>24</v>
      </c>
      <c r="D11" t="s">
        <v>30</v>
      </c>
      <c r="E11" t="s">
        <v>37</v>
      </c>
      <c r="F11" t="s">
        <v>132</v>
      </c>
      <c r="G11" t="s">
        <v>137</v>
      </c>
      <c r="H11" t="s">
        <v>137</v>
      </c>
      <c r="I11">
        <v>379292</v>
      </c>
      <c r="J11">
        <v>131500</v>
      </c>
      <c r="K11">
        <v>11392</v>
      </c>
      <c r="L11">
        <v>0</v>
      </c>
      <c r="M11">
        <v>0</v>
      </c>
      <c r="N11">
        <v>0</v>
      </c>
    </row>
    <row r="12" spans="2:14" x14ac:dyDescent="0.3">
      <c r="B12" s="18">
        <v>7</v>
      </c>
      <c r="C12" t="s">
        <v>32</v>
      </c>
      <c r="D12" t="s">
        <v>41</v>
      </c>
      <c r="E12" t="s">
        <v>42</v>
      </c>
      <c r="F12" t="s">
        <v>139</v>
      </c>
      <c r="G12" t="s">
        <v>147</v>
      </c>
      <c r="H12" t="s">
        <v>148</v>
      </c>
      <c r="I12">
        <v>359406</v>
      </c>
      <c r="J12">
        <v>180288</v>
      </c>
      <c r="K12">
        <v>45134</v>
      </c>
      <c r="L12">
        <v>740</v>
      </c>
      <c r="M12">
        <v>0</v>
      </c>
      <c r="N12">
        <v>120</v>
      </c>
    </row>
    <row r="13" spans="2:14" x14ac:dyDescent="0.3">
      <c r="B13" s="18">
        <v>8</v>
      </c>
      <c r="C13" t="s">
        <v>38</v>
      </c>
      <c r="D13" t="s">
        <v>39</v>
      </c>
      <c r="E13" t="s">
        <v>40</v>
      </c>
      <c r="F13" t="s">
        <v>144</v>
      </c>
      <c r="G13" t="s">
        <v>145</v>
      </c>
      <c r="H13" t="s">
        <v>146</v>
      </c>
      <c r="I13">
        <v>337098</v>
      </c>
      <c r="J13">
        <v>57227</v>
      </c>
      <c r="K13">
        <v>0</v>
      </c>
      <c r="L13">
        <v>0</v>
      </c>
      <c r="M13">
        <v>0</v>
      </c>
      <c r="N13">
        <v>0</v>
      </c>
    </row>
    <row r="14" spans="2:14" x14ac:dyDescent="0.3">
      <c r="B14" s="18">
        <v>9</v>
      </c>
      <c r="C14" t="s">
        <v>38</v>
      </c>
      <c r="D14" t="s">
        <v>43</v>
      </c>
      <c r="E14" t="s">
        <v>44</v>
      </c>
      <c r="F14" t="s">
        <v>144</v>
      </c>
      <c r="G14" t="s">
        <v>149</v>
      </c>
      <c r="H14" t="s">
        <v>149</v>
      </c>
      <c r="I14">
        <v>305739</v>
      </c>
      <c r="J14">
        <v>10812</v>
      </c>
      <c r="K14">
        <v>0</v>
      </c>
      <c r="L14">
        <v>0</v>
      </c>
      <c r="M14">
        <v>0</v>
      </c>
      <c r="N14">
        <v>664</v>
      </c>
    </row>
    <row r="15" spans="2:14" x14ac:dyDescent="0.3">
      <c r="B15" s="18">
        <v>10</v>
      </c>
      <c r="C15" t="s">
        <v>32</v>
      </c>
      <c r="D15" t="s">
        <v>46</v>
      </c>
      <c r="E15" t="s">
        <v>47</v>
      </c>
      <c r="F15" t="s">
        <v>139</v>
      </c>
      <c r="G15" t="s">
        <v>151</v>
      </c>
      <c r="H15" t="s">
        <v>152</v>
      </c>
      <c r="I15">
        <v>297988</v>
      </c>
      <c r="J15">
        <v>142570</v>
      </c>
      <c r="K15">
        <v>60337</v>
      </c>
      <c r="L15">
        <v>0</v>
      </c>
      <c r="M15">
        <v>0</v>
      </c>
      <c r="N15">
        <v>158</v>
      </c>
    </row>
    <row r="16" spans="2:14" x14ac:dyDescent="0.3">
      <c r="B16" s="18">
        <v>11</v>
      </c>
      <c r="C16" t="s">
        <v>24</v>
      </c>
      <c r="D16" t="s">
        <v>25</v>
      </c>
      <c r="E16" t="s">
        <v>45</v>
      </c>
      <c r="F16" t="s">
        <v>132</v>
      </c>
      <c r="G16" t="s">
        <v>133</v>
      </c>
      <c r="H16" t="s">
        <v>150</v>
      </c>
      <c r="I16">
        <v>290438</v>
      </c>
      <c r="J16">
        <v>150247</v>
      </c>
      <c r="K16">
        <v>36380</v>
      </c>
      <c r="L16">
        <v>608</v>
      </c>
      <c r="M16">
        <v>130</v>
      </c>
      <c r="N16">
        <v>35</v>
      </c>
    </row>
    <row r="17" spans="2:14" x14ac:dyDescent="0.3">
      <c r="B17" s="18">
        <v>12</v>
      </c>
      <c r="C17" t="s">
        <v>32</v>
      </c>
      <c r="D17" t="s">
        <v>50</v>
      </c>
      <c r="E17" t="s">
        <v>51</v>
      </c>
      <c r="F17" t="s">
        <v>139</v>
      </c>
      <c r="G17" t="s">
        <v>155</v>
      </c>
      <c r="H17" t="s">
        <v>156</v>
      </c>
      <c r="I17">
        <v>264184</v>
      </c>
      <c r="J17">
        <v>72029</v>
      </c>
      <c r="K17">
        <v>85948</v>
      </c>
      <c r="L17">
        <v>427</v>
      </c>
      <c r="M17">
        <v>8754</v>
      </c>
      <c r="N17">
        <v>0</v>
      </c>
    </row>
    <row r="18" spans="2:14" x14ac:dyDescent="0.3">
      <c r="B18" s="18">
        <v>13</v>
      </c>
      <c r="C18" t="s">
        <v>27</v>
      </c>
      <c r="D18" t="s">
        <v>48</v>
      </c>
      <c r="E18" t="s">
        <v>49</v>
      </c>
      <c r="F18" t="s">
        <v>135</v>
      </c>
      <c r="G18" t="s">
        <v>153</v>
      </c>
      <c r="H18" t="s">
        <v>154</v>
      </c>
      <c r="I18">
        <v>220987</v>
      </c>
      <c r="J18">
        <v>70256</v>
      </c>
      <c r="K18">
        <v>0</v>
      </c>
      <c r="L18">
        <v>0</v>
      </c>
      <c r="M18">
        <v>0</v>
      </c>
      <c r="N18">
        <v>936</v>
      </c>
    </row>
    <row r="19" spans="2:14" x14ac:dyDescent="0.3">
      <c r="B19" s="18">
        <v>14</v>
      </c>
      <c r="C19" t="s">
        <v>32</v>
      </c>
      <c r="D19" t="s">
        <v>52</v>
      </c>
      <c r="E19" t="s">
        <v>53</v>
      </c>
      <c r="F19" t="s">
        <v>139</v>
      </c>
      <c r="G19" t="s">
        <v>157</v>
      </c>
      <c r="H19" t="s">
        <v>158</v>
      </c>
      <c r="I19">
        <v>150862</v>
      </c>
      <c r="J19">
        <v>26756</v>
      </c>
      <c r="K19">
        <v>52186</v>
      </c>
      <c r="L19">
        <v>612</v>
      </c>
      <c r="M19">
        <v>15</v>
      </c>
      <c r="N19">
        <v>391</v>
      </c>
    </row>
    <row r="20" spans="2:14" x14ac:dyDescent="0.3">
      <c r="B20" s="18">
        <v>15</v>
      </c>
      <c r="C20" t="s">
        <v>32</v>
      </c>
      <c r="D20" t="s">
        <v>41</v>
      </c>
      <c r="E20" t="s">
        <v>66</v>
      </c>
      <c r="F20" t="s">
        <v>139</v>
      </c>
      <c r="G20" t="s">
        <v>147</v>
      </c>
      <c r="H20" t="s">
        <v>171</v>
      </c>
      <c r="I20">
        <v>149901</v>
      </c>
      <c r="J20">
        <v>63683</v>
      </c>
      <c r="K20">
        <v>43079</v>
      </c>
      <c r="L20">
        <v>824</v>
      </c>
      <c r="M20">
        <v>0</v>
      </c>
      <c r="N20">
        <v>109</v>
      </c>
    </row>
    <row r="21" spans="2:14" x14ac:dyDescent="0.3">
      <c r="B21" s="18">
        <v>16</v>
      </c>
      <c r="C21" t="s">
        <v>24</v>
      </c>
      <c r="D21" t="s">
        <v>54</v>
      </c>
      <c r="E21" t="s">
        <v>55</v>
      </c>
      <c r="F21" t="s">
        <v>132</v>
      </c>
      <c r="G21" t="s">
        <v>159</v>
      </c>
      <c r="H21" t="s">
        <v>160</v>
      </c>
      <c r="I21">
        <v>143085</v>
      </c>
      <c r="J21">
        <v>32958</v>
      </c>
      <c r="K21">
        <v>410</v>
      </c>
      <c r="L21">
        <v>0</v>
      </c>
      <c r="M21">
        <v>0</v>
      </c>
      <c r="N21">
        <v>297</v>
      </c>
    </row>
    <row r="22" spans="2:14" x14ac:dyDescent="0.3">
      <c r="B22" s="18">
        <v>17</v>
      </c>
      <c r="C22" t="s">
        <v>24</v>
      </c>
      <c r="D22" t="s">
        <v>25</v>
      </c>
      <c r="E22" t="s">
        <v>59</v>
      </c>
      <c r="F22" t="s">
        <v>132</v>
      </c>
      <c r="G22" t="s">
        <v>133</v>
      </c>
      <c r="H22" t="s">
        <v>164</v>
      </c>
      <c r="I22">
        <v>132769</v>
      </c>
      <c r="J22">
        <v>50899</v>
      </c>
      <c r="K22">
        <v>18766</v>
      </c>
      <c r="L22">
        <v>244</v>
      </c>
      <c r="M22">
        <v>112</v>
      </c>
      <c r="N22">
        <v>0</v>
      </c>
    </row>
    <row r="23" spans="2:14" x14ac:dyDescent="0.3">
      <c r="B23" s="18">
        <v>18</v>
      </c>
      <c r="C23" t="s">
        <v>56</v>
      </c>
      <c r="D23" t="s">
        <v>57</v>
      </c>
      <c r="E23" t="s">
        <v>58</v>
      </c>
      <c r="F23" t="s">
        <v>161</v>
      </c>
      <c r="G23" t="s">
        <v>162</v>
      </c>
      <c r="H23" t="s">
        <v>163</v>
      </c>
      <c r="I23">
        <v>131709</v>
      </c>
      <c r="J23">
        <v>17438</v>
      </c>
      <c r="K23">
        <v>0</v>
      </c>
      <c r="L23">
        <v>0</v>
      </c>
      <c r="M23">
        <v>0</v>
      </c>
      <c r="N23">
        <v>0</v>
      </c>
    </row>
    <row r="24" spans="2:14" x14ac:dyDescent="0.3">
      <c r="B24" s="18">
        <v>19</v>
      </c>
      <c r="C24" t="s">
        <v>24</v>
      </c>
      <c r="D24" t="s">
        <v>60</v>
      </c>
      <c r="E24" t="s">
        <v>61</v>
      </c>
      <c r="F24" t="s">
        <v>132</v>
      </c>
      <c r="G24" t="s">
        <v>165</v>
      </c>
      <c r="H24" t="s">
        <v>166</v>
      </c>
      <c r="I24">
        <v>129686</v>
      </c>
      <c r="J24">
        <v>15431</v>
      </c>
      <c r="K24">
        <v>265</v>
      </c>
      <c r="L24">
        <v>0</v>
      </c>
      <c r="M24">
        <v>150</v>
      </c>
      <c r="N24">
        <v>205</v>
      </c>
    </row>
    <row r="25" spans="2:14" x14ac:dyDescent="0.3">
      <c r="B25" s="18">
        <v>20</v>
      </c>
      <c r="C25" t="s">
        <v>32</v>
      </c>
      <c r="D25" t="s">
        <v>33</v>
      </c>
      <c r="E25" t="s">
        <v>65</v>
      </c>
      <c r="F25" t="s">
        <v>139</v>
      </c>
      <c r="G25" t="s">
        <v>142</v>
      </c>
      <c r="H25" t="s">
        <v>170</v>
      </c>
      <c r="I25">
        <v>127300</v>
      </c>
      <c r="J25">
        <v>54899</v>
      </c>
      <c r="K25">
        <v>19767</v>
      </c>
      <c r="L25">
        <v>0</v>
      </c>
      <c r="M25">
        <v>0</v>
      </c>
      <c r="N25">
        <v>80</v>
      </c>
    </row>
    <row r="26" spans="2:14" x14ac:dyDescent="0.3">
      <c r="B26" s="18">
        <v>21</v>
      </c>
      <c r="C26" t="s">
        <v>56</v>
      </c>
      <c r="D26" t="s">
        <v>62</v>
      </c>
      <c r="E26" t="s">
        <v>63</v>
      </c>
      <c r="F26" t="s">
        <v>161</v>
      </c>
      <c r="G26" t="s">
        <v>167</v>
      </c>
      <c r="H26" t="s">
        <v>168</v>
      </c>
      <c r="I26">
        <v>125373</v>
      </c>
      <c r="J26">
        <v>24629</v>
      </c>
      <c r="K26">
        <v>0</v>
      </c>
      <c r="L26">
        <v>0</v>
      </c>
      <c r="M26">
        <v>178</v>
      </c>
      <c r="N26">
        <v>1043</v>
      </c>
    </row>
    <row r="27" spans="2:14" x14ac:dyDescent="0.3">
      <c r="B27" s="18">
        <v>22</v>
      </c>
      <c r="C27" t="s">
        <v>32</v>
      </c>
      <c r="D27" t="s">
        <v>33</v>
      </c>
      <c r="E27" t="s">
        <v>64</v>
      </c>
      <c r="F27" t="s">
        <v>139</v>
      </c>
      <c r="G27" t="s">
        <v>142</v>
      </c>
      <c r="H27" t="s">
        <v>169</v>
      </c>
      <c r="I27">
        <v>116203</v>
      </c>
      <c r="J27">
        <v>30877</v>
      </c>
      <c r="K27">
        <v>14984</v>
      </c>
      <c r="L27">
        <v>99</v>
      </c>
      <c r="M27">
        <v>233</v>
      </c>
      <c r="N27">
        <v>52</v>
      </c>
    </row>
    <row r="28" spans="2:14" x14ac:dyDescent="0.3">
      <c r="B28" s="18">
        <v>23</v>
      </c>
      <c r="C28" t="s">
        <v>24</v>
      </c>
      <c r="D28" t="s">
        <v>25</v>
      </c>
      <c r="E28" t="s">
        <v>77</v>
      </c>
      <c r="F28" t="s">
        <v>132</v>
      </c>
      <c r="G28" t="s">
        <v>133</v>
      </c>
      <c r="H28" t="s">
        <v>182</v>
      </c>
      <c r="I28">
        <v>98629</v>
      </c>
      <c r="J28">
        <v>25521</v>
      </c>
      <c r="K28">
        <v>45581</v>
      </c>
      <c r="L28">
        <v>359</v>
      </c>
      <c r="M28">
        <v>0</v>
      </c>
      <c r="N28">
        <v>0</v>
      </c>
    </row>
    <row r="29" spans="2:14" x14ac:dyDescent="0.3">
      <c r="B29" s="18">
        <v>24</v>
      </c>
      <c r="C29" t="s">
        <v>24</v>
      </c>
      <c r="D29" t="s">
        <v>60</v>
      </c>
      <c r="E29" t="s">
        <v>68</v>
      </c>
      <c r="F29" t="s">
        <v>132</v>
      </c>
      <c r="G29" t="s">
        <v>165</v>
      </c>
      <c r="H29" t="s">
        <v>173</v>
      </c>
      <c r="I29">
        <v>97709</v>
      </c>
      <c r="J29">
        <v>33298</v>
      </c>
      <c r="K29">
        <v>15532</v>
      </c>
      <c r="L29">
        <v>194</v>
      </c>
      <c r="M29">
        <v>249</v>
      </c>
      <c r="N29">
        <v>0</v>
      </c>
    </row>
    <row r="30" spans="2:14" x14ac:dyDescent="0.3">
      <c r="B30" s="18">
        <v>25</v>
      </c>
      <c r="C30" t="s">
        <v>24</v>
      </c>
      <c r="D30" t="s">
        <v>25</v>
      </c>
      <c r="E30" t="s">
        <v>67</v>
      </c>
      <c r="F30" t="s">
        <v>132</v>
      </c>
      <c r="G30" t="s">
        <v>133</v>
      </c>
      <c r="H30" t="s">
        <v>172</v>
      </c>
      <c r="I30">
        <v>97413</v>
      </c>
      <c r="J30">
        <v>36443</v>
      </c>
      <c r="K30">
        <v>20495</v>
      </c>
      <c r="L30">
        <v>35</v>
      </c>
      <c r="M30">
        <v>806</v>
      </c>
      <c r="N30">
        <v>0</v>
      </c>
    </row>
    <row r="31" spans="2:14" x14ac:dyDescent="0.3">
      <c r="B31" s="18">
        <v>26</v>
      </c>
      <c r="C31" t="s">
        <v>38</v>
      </c>
      <c r="D31" t="s">
        <v>69</v>
      </c>
      <c r="E31" t="s">
        <v>70</v>
      </c>
      <c r="F31" t="s">
        <v>144</v>
      </c>
      <c r="G31" t="s">
        <v>174</v>
      </c>
      <c r="H31" t="s">
        <v>175</v>
      </c>
      <c r="I31">
        <v>95252</v>
      </c>
      <c r="J31">
        <v>15857</v>
      </c>
      <c r="K31">
        <v>0</v>
      </c>
      <c r="L31">
        <v>0</v>
      </c>
      <c r="M31">
        <v>1</v>
      </c>
      <c r="N31">
        <v>96</v>
      </c>
    </row>
    <row r="32" spans="2:14" x14ac:dyDescent="0.3">
      <c r="B32" s="18">
        <v>27</v>
      </c>
      <c r="C32" t="s">
        <v>24</v>
      </c>
      <c r="D32" t="s">
        <v>30</v>
      </c>
      <c r="E32" t="s">
        <v>71</v>
      </c>
      <c r="F32" t="s">
        <v>132</v>
      </c>
      <c r="G32" t="s">
        <v>137</v>
      </c>
      <c r="H32" t="s">
        <v>176</v>
      </c>
      <c r="I32">
        <v>91623</v>
      </c>
      <c r="J32">
        <v>49598</v>
      </c>
      <c r="K32">
        <v>2823</v>
      </c>
      <c r="L32">
        <v>0</v>
      </c>
      <c r="M32">
        <v>0</v>
      </c>
      <c r="N32">
        <v>0</v>
      </c>
    </row>
    <row r="33" spans="2:14" x14ac:dyDescent="0.3">
      <c r="B33" s="18">
        <v>28</v>
      </c>
      <c r="C33" t="s">
        <v>27</v>
      </c>
      <c r="D33" t="s">
        <v>28</v>
      </c>
      <c r="E33" t="s">
        <v>72</v>
      </c>
      <c r="F33" t="s">
        <v>135</v>
      </c>
      <c r="G33" t="s">
        <v>136</v>
      </c>
      <c r="H33" t="s">
        <v>177</v>
      </c>
      <c r="I33">
        <v>85353</v>
      </c>
      <c r="J33">
        <v>7448</v>
      </c>
      <c r="K33">
        <v>0</v>
      </c>
      <c r="L33">
        <v>0</v>
      </c>
      <c r="M33">
        <v>0</v>
      </c>
      <c r="N33">
        <v>0</v>
      </c>
    </row>
    <row r="34" spans="2:14" x14ac:dyDescent="0.3">
      <c r="B34" s="18">
        <v>29</v>
      </c>
      <c r="C34" t="s">
        <v>56</v>
      </c>
      <c r="D34" t="s">
        <v>73</v>
      </c>
      <c r="E34" t="s">
        <v>74</v>
      </c>
      <c r="F34" t="s">
        <v>161</v>
      </c>
      <c r="G34" t="s">
        <v>178</v>
      </c>
      <c r="H34" t="s">
        <v>179</v>
      </c>
      <c r="I34">
        <v>83714</v>
      </c>
      <c r="J34">
        <v>9908</v>
      </c>
      <c r="K34">
        <v>0</v>
      </c>
      <c r="L34">
        <v>0</v>
      </c>
      <c r="M34">
        <v>25</v>
      </c>
      <c r="N34">
        <v>213</v>
      </c>
    </row>
    <row r="35" spans="2:14" x14ac:dyDescent="0.3">
      <c r="B35" s="18">
        <v>30</v>
      </c>
      <c r="C35" t="s">
        <v>38</v>
      </c>
      <c r="D35" t="s">
        <v>75</v>
      </c>
      <c r="E35" t="s">
        <v>76</v>
      </c>
      <c r="F35" t="s">
        <v>144</v>
      </c>
      <c r="G35" t="s">
        <v>180</v>
      </c>
      <c r="H35" t="s">
        <v>181</v>
      </c>
      <c r="I35">
        <v>83166</v>
      </c>
      <c r="J35">
        <v>16769</v>
      </c>
      <c r="K35">
        <v>0</v>
      </c>
      <c r="L35">
        <v>0</v>
      </c>
      <c r="M35">
        <v>0</v>
      </c>
      <c r="N35">
        <v>215</v>
      </c>
    </row>
    <row r="36" spans="2:14" x14ac:dyDescent="0.3">
      <c r="B36" s="18">
        <v>31</v>
      </c>
      <c r="C36" t="s">
        <v>32</v>
      </c>
      <c r="D36" t="s">
        <v>89</v>
      </c>
      <c r="E36" t="s">
        <v>121</v>
      </c>
      <c r="F36" t="s">
        <v>139</v>
      </c>
      <c r="G36" t="s">
        <v>191</v>
      </c>
      <c r="H36" t="s">
        <v>225</v>
      </c>
      <c r="I36">
        <v>79108</v>
      </c>
      <c r="J36">
        <v>4068</v>
      </c>
      <c r="K36">
        <v>0</v>
      </c>
      <c r="L36">
        <v>40</v>
      </c>
      <c r="M36">
        <v>60</v>
      </c>
      <c r="N36">
        <v>40</v>
      </c>
    </row>
    <row r="37" spans="2:14" x14ac:dyDescent="0.3">
      <c r="B37" s="18">
        <v>32</v>
      </c>
      <c r="C37" t="s">
        <v>32</v>
      </c>
      <c r="D37" t="s">
        <v>33</v>
      </c>
      <c r="E37" t="s">
        <v>78</v>
      </c>
      <c r="F37" t="s">
        <v>139</v>
      </c>
      <c r="G37" t="s">
        <v>142</v>
      </c>
      <c r="H37" t="s">
        <v>183</v>
      </c>
      <c r="I37">
        <v>77670</v>
      </c>
      <c r="J37">
        <v>25524</v>
      </c>
      <c r="K37">
        <v>2306</v>
      </c>
      <c r="L37">
        <v>0</v>
      </c>
      <c r="M37">
        <v>0</v>
      </c>
      <c r="N37">
        <v>0</v>
      </c>
    </row>
    <row r="38" spans="2:14" x14ac:dyDescent="0.3">
      <c r="B38" s="18">
        <v>33</v>
      </c>
      <c r="C38" t="s">
        <v>32</v>
      </c>
      <c r="D38" t="s">
        <v>41</v>
      </c>
      <c r="E38" t="s">
        <v>92</v>
      </c>
      <c r="F38" t="s">
        <v>139</v>
      </c>
      <c r="G38" t="s">
        <v>147</v>
      </c>
      <c r="H38" t="s">
        <v>197</v>
      </c>
      <c r="I38">
        <v>75174</v>
      </c>
      <c r="J38">
        <v>39286</v>
      </c>
      <c r="K38">
        <v>25700</v>
      </c>
      <c r="L38">
        <v>394</v>
      </c>
      <c r="M38">
        <v>80</v>
      </c>
      <c r="N38">
        <v>103</v>
      </c>
    </row>
    <row r="39" spans="2:14" x14ac:dyDescent="0.3">
      <c r="B39" s="18">
        <v>34</v>
      </c>
      <c r="C39" t="s">
        <v>32</v>
      </c>
      <c r="D39" t="s">
        <v>50</v>
      </c>
      <c r="E39" t="s">
        <v>81</v>
      </c>
      <c r="F39" t="s">
        <v>139</v>
      </c>
      <c r="G39" t="s">
        <v>155</v>
      </c>
      <c r="H39" t="s">
        <v>187</v>
      </c>
      <c r="I39">
        <v>71261</v>
      </c>
      <c r="J39">
        <v>26038</v>
      </c>
      <c r="K39">
        <v>6591</v>
      </c>
      <c r="L39">
        <v>0</v>
      </c>
      <c r="M39">
        <v>0</v>
      </c>
      <c r="N39">
        <v>0</v>
      </c>
    </row>
    <row r="40" spans="2:14" x14ac:dyDescent="0.3">
      <c r="B40" s="18">
        <v>35</v>
      </c>
      <c r="C40" t="s">
        <v>32</v>
      </c>
      <c r="D40" t="s">
        <v>35</v>
      </c>
      <c r="E40" t="s">
        <v>79</v>
      </c>
      <c r="F40" t="s">
        <v>139</v>
      </c>
      <c r="G40" t="s">
        <v>140</v>
      </c>
      <c r="H40" t="s">
        <v>184</v>
      </c>
      <c r="I40">
        <v>68750</v>
      </c>
      <c r="J40">
        <v>1559</v>
      </c>
      <c r="K40">
        <v>0</v>
      </c>
      <c r="L40">
        <v>0</v>
      </c>
      <c r="M40">
        <v>0</v>
      </c>
      <c r="N40">
        <v>757</v>
      </c>
    </row>
    <row r="41" spans="2:14" x14ac:dyDescent="0.3">
      <c r="B41" s="18">
        <v>36</v>
      </c>
      <c r="C41" t="s">
        <v>24</v>
      </c>
      <c r="D41" t="s">
        <v>25</v>
      </c>
      <c r="E41" t="s">
        <v>82</v>
      </c>
      <c r="F41" t="s">
        <v>132</v>
      </c>
      <c r="G41" t="s">
        <v>133</v>
      </c>
      <c r="H41" t="s">
        <v>186</v>
      </c>
      <c r="I41">
        <v>65659</v>
      </c>
      <c r="J41">
        <v>32189</v>
      </c>
      <c r="K41">
        <v>3630</v>
      </c>
      <c r="L41">
        <v>102</v>
      </c>
      <c r="M41">
        <v>25</v>
      </c>
      <c r="N41">
        <v>70</v>
      </c>
    </row>
    <row r="42" spans="2:14" x14ac:dyDescent="0.3">
      <c r="B42" s="18">
        <v>37</v>
      </c>
      <c r="C42" t="s">
        <v>24</v>
      </c>
      <c r="D42" t="s">
        <v>54</v>
      </c>
      <c r="E42" t="s">
        <v>83</v>
      </c>
      <c r="F42" t="s">
        <v>132</v>
      </c>
      <c r="G42" t="s">
        <v>159</v>
      </c>
      <c r="H42" t="s">
        <v>188</v>
      </c>
      <c r="I42">
        <v>65199</v>
      </c>
      <c r="J42">
        <v>8020</v>
      </c>
      <c r="K42">
        <v>0</v>
      </c>
      <c r="L42">
        <v>0</v>
      </c>
      <c r="M42">
        <v>0</v>
      </c>
      <c r="N42">
        <v>300</v>
      </c>
    </row>
    <row r="43" spans="2:14" x14ac:dyDescent="0.3">
      <c r="B43" s="18">
        <v>38</v>
      </c>
      <c r="C43" t="s">
        <v>27</v>
      </c>
      <c r="D43" t="s">
        <v>48</v>
      </c>
      <c r="E43" t="s">
        <v>85</v>
      </c>
      <c r="F43" t="s">
        <v>135</v>
      </c>
      <c r="G43" t="s">
        <v>153</v>
      </c>
      <c r="H43" t="s">
        <v>190</v>
      </c>
      <c r="I43">
        <v>65173</v>
      </c>
      <c r="J43">
        <v>8498</v>
      </c>
      <c r="K43">
        <v>0</v>
      </c>
      <c r="L43">
        <v>0</v>
      </c>
      <c r="M43">
        <v>0</v>
      </c>
      <c r="N43">
        <v>2550</v>
      </c>
    </row>
    <row r="44" spans="2:14" x14ac:dyDescent="0.3">
      <c r="B44" s="18">
        <v>39</v>
      </c>
      <c r="C44" t="s">
        <v>24</v>
      </c>
      <c r="D44" t="s">
        <v>60</v>
      </c>
      <c r="E44" t="s">
        <v>80</v>
      </c>
      <c r="F44" t="s">
        <v>132</v>
      </c>
      <c r="G44" t="s">
        <v>165</v>
      </c>
      <c r="H44" t="s">
        <v>185</v>
      </c>
      <c r="I44">
        <v>64755</v>
      </c>
      <c r="J44">
        <v>22391</v>
      </c>
      <c r="K44">
        <v>12632</v>
      </c>
      <c r="L44">
        <v>0</v>
      </c>
      <c r="M44">
        <v>0</v>
      </c>
      <c r="N44">
        <v>232</v>
      </c>
    </row>
    <row r="45" spans="2:14" x14ac:dyDescent="0.3">
      <c r="B45" s="18">
        <v>40</v>
      </c>
      <c r="C45" t="s">
        <v>56</v>
      </c>
      <c r="D45" t="s">
        <v>62</v>
      </c>
      <c r="E45" t="s">
        <v>84</v>
      </c>
      <c r="F45" t="s">
        <v>161</v>
      </c>
      <c r="G45" t="s">
        <v>167</v>
      </c>
      <c r="H45" t="s">
        <v>189</v>
      </c>
      <c r="I45">
        <v>63177</v>
      </c>
      <c r="J45">
        <v>13966</v>
      </c>
      <c r="K45">
        <v>0</v>
      </c>
      <c r="L45">
        <v>0</v>
      </c>
      <c r="M45">
        <v>0</v>
      </c>
      <c r="N45">
        <v>192</v>
      </c>
    </row>
    <row r="46" spans="2:14" x14ac:dyDescent="0.3">
      <c r="B46" s="18">
        <v>41</v>
      </c>
      <c r="C46" t="s">
        <v>32</v>
      </c>
      <c r="D46" t="s">
        <v>89</v>
      </c>
      <c r="E46" t="s">
        <v>90</v>
      </c>
      <c r="F46" t="s">
        <v>139</v>
      </c>
      <c r="G46" t="s">
        <v>191</v>
      </c>
      <c r="H46" t="s">
        <v>192</v>
      </c>
      <c r="I46">
        <v>60771</v>
      </c>
      <c r="J46">
        <v>1704</v>
      </c>
      <c r="K46">
        <v>0</v>
      </c>
      <c r="L46">
        <v>0</v>
      </c>
      <c r="M46">
        <v>0</v>
      </c>
      <c r="N46">
        <v>61</v>
      </c>
    </row>
    <row r="47" spans="2:14" x14ac:dyDescent="0.3">
      <c r="B47" s="18">
        <v>42</v>
      </c>
      <c r="C47" t="s">
        <v>24</v>
      </c>
      <c r="D47" t="s">
        <v>54</v>
      </c>
      <c r="E47" t="s">
        <v>86</v>
      </c>
      <c r="F47" t="s">
        <v>132</v>
      </c>
      <c r="G47" t="s">
        <v>159</v>
      </c>
      <c r="H47" t="s">
        <v>193</v>
      </c>
      <c r="I47">
        <v>58549</v>
      </c>
      <c r="J47">
        <v>10591</v>
      </c>
      <c r="K47">
        <v>1995</v>
      </c>
      <c r="L47">
        <v>46</v>
      </c>
      <c r="M47">
        <v>0</v>
      </c>
      <c r="N47">
        <v>190</v>
      </c>
    </row>
    <row r="48" spans="2:14" x14ac:dyDescent="0.3">
      <c r="B48" s="18">
        <v>43</v>
      </c>
      <c r="C48" t="s">
        <v>56</v>
      </c>
      <c r="D48" t="s">
        <v>57</v>
      </c>
      <c r="E48" t="s">
        <v>87</v>
      </c>
      <c r="F48" t="s">
        <v>161</v>
      </c>
      <c r="G48" t="s">
        <v>162</v>
      </c>
      <c r="H48" t="s">
        <v>194</v>
      </c>
      <c r="I48">
        <v>56803</v>
      </c>
      <c r="J48">
        <v>254</v>
      </c>
      <c r="K48">
        <v>0</v>
      </c>
      <c r="L48">
        <v>5</v>
      </c>
      <c r="M48">
        <v>0</v>
      </c>
      <c r="N48">
        <v>610</v>
      </c>
    </row>
    <row r="49" spans="2:14" x14ac:dyDescent="0.3">
      <c r="B49" s="18">
        <v>44</v>
      </c>
      <c r="C49" t="s">
        <v>38</v>
      </c>
      <c r="D49" t="s">
        <v>75</v>
      </c>
      <c r="E49" t="s">
        <v>88</v>
      </c>
      <c r="F49" t="s">
        <v>144</v>
      </c>
      <c r="G49" t="s">
        <v>180</v>
      </c>
      <c r="H49" t="s">
        <v>195</v>
      </c>
      <c r="I49">
        <v>54123</v>
      </c>
      <c r="J49">
        <v>8281</v>
      </c>
      <c r="K49">
        <v>0</v>
      </c>
      <c r="L49">
        <v>0</v>
      </c>
      <c r="M49">
        <v>2</v>
      </c>
      <c r="N49">
        <v>175</v>
      </c>
    </row>
    <row r="50" spans="2:14" x14ac:dyDescent="0.3">
      <c r="B50" s="18">
        <v>45</v>
      </c>
      <c r="C50" t="s">
        <v>56</v>
      </c>
      <c r="D50" t="s">
        <v>62</v>
      </c>
      <c r="E50" t="s">
        <v>91</v>
      </c>
      <c r="F50" t="s">
        <v>161</v>
      </c>
      <c r="G50" t="s">
        <v>167</v>
      </c>
      <c r="H50" t="s">
        <v>196</v>
      </c>
      <c r="I50">
        <v>52564</v>
      </c>
      <c r="J50">
        <v>6801</v>
      </c>
      <c r="K50">
        <v>0</v>
      </c>
      <c r="L50">
        <v>2</v>
      </c>
      <c r="M50">
        <v>27</v>
      </c>
      <c r="N50">
        <v>785</v>
      </c>
    </row>
    <row r="51" spans="2:14" x14ac:dyDescent="0.3">
      <c r="B51" s="18">
        <v>46</v>
      </c>
      <c r="C51" t="s">
        <v>27</v>
      </c>
      <c r="D51" t="s">
        <v>94</v>
      </c>
      <c r="E51" t="s">
        <v>95</v>
      </c>
      <c r="F51" t="s">
        <v>135</v>
      </c>
      <c r="G51" t="s">
        <v>199</v>
      </c>
      <c r="H51" t="s">
        <v>200</v>
      </c>
      <c r="I51">
        <v>50080</v>
      </c>
      <c r="J51">
        <v>1087</v>
      </c>
      <c r="K51">
        <v>0</v>
      </c>
      <c r="L51">
        <v>0</v>
      </c>
      <c r="M51">
        <v>0</v>
      </c>
      <c r="N51">
        <v>168</v>
      </c>
    </row>
    <row r="52" spans="2:14" x14ac:dyDescent="0.3">
      <c r="B52" s="18">
        <v>47</v>
      </c>
      <c r="C52" t="s">
        <v>32</v>
      </c>
      <c r="D52" t="s">
        <v>52</v>
      </c>
      <c r="E52" t="s">
        <v>101</v>
      </c>
      <c r="F52" t="s">
        <v>139</v>
      </c>
      <c r="G52" t="s">
        <v>157</v>
      </c>
      <c r="H52" t="s">
        <v>207</v>
      </c>
      <c r="I52">
        <v>49299</v>
      </c>
      <c r="J52">
        <v>1828</v>
      </c>
      <c r="K52">
        <v>10172</v>
      </c>
      <c r="L52">
        <v>0</v>
      </c>
      <c r="M52">
        <v>0</v>
      </c>
      <c r="N52">
        <v>186</v>
      </c>
    </row>
    <row r="53" spans="2:14" x14ac:dyDescent="0.3">
      <c r="B53" s="18">
        <v>48</v>
      </c>
      <c r="C53" t="s">
        <v>24</v>
      </c>
      <c r="D53" t="s">
        <v>60</v>
      </c>
      <c r="E53" t="s">
        <v>98</v>
      </c>
      <c r="F53" t="s">
        <v>132</v>
      </c>
      <c r="G53" t="s">
        <v>165</v>
      </c>
      <c r="H53" t="s">
        <v>204</v>
      </c>
      <c r="I53">
        <v>48783</v>
      </c>
      <c r="J53">
        <v>7973</v>
      </c>
      <c r="K53">
        <v>27630</v>
      </c>
      <c r="L53">
        <v>11</v>
      </c>
      <c r="M53">
        <v>329</v>
      </c>
      <c r="N53">
        <v>3</v>
      </c>
    </row>
    <row r="54" spans="2:14" x14ac:dyDescent="0.3">
      <c r="B54" s="18">
        <v>49</v>
      </c>
      <c r="C54" t="s">
        <v>38</v>
      </c>
      <c r="D54" t="s">
        <v>43</v>
      </c>
      <c r="E54" t="s">
        <v>93</v>
      </c>
      <c r="F54" t="s">
        <v>144</v>
      </c>
      <c r="G54" t="s">
        <v>149</v>
      </c>
      <c r="H54" t="s">
        <v>198</v>
      </c>
      <c r="I54">
        <v>48765</v>
      </c>
      <c r="J54">
        <v>655</v>
      </c>
      <c r="K54">
        <v>0</v>
      </c>
      <c r="L54">
        <v>0</v>
      </c>
      <c r="M54">
        <v>0</v>
      </c>
      <c r="N54">
        <v>40</v>
      </c>
    </row>
    <row r="55" spans="2:14" x14ac:dyDescent="0.3">
      <c r="B55" s="18">
        <v>50</v>
      </c>
      <c r="C55" t="s">
        <v>32</v>
      </c>
      <c r="D55" t="s">
        <v>41</v>
      </c>
      <c r="E55" t="s">
        <v>96</v>
      </c>
      <c r="F55" t="s">
        <v>139</v>
      </c>
      <c r="G55" t="s">
        <v>147</v>
      </c>
      <c r="H55" t="s">
        <v>201</v>
      </c>
      <c r="I55">
        <v>46739</v>
      </c>
      <c r="J55">
        <v>28211</v>
      </c>
      <c r="K55">
        <v>2934</v>
      </c>
      <c r="L55">
        <v>0</v>
      </c>
      <c r="M55">
        <v>0</v>
      </c>
      <c r="N55">
        <v>0</v>
      </c>
    </row>
    <row r="56" spans="2:14" x14ac:dyDescent="0.3">
      <c r="B56" s="18">
        <v>51</v>
      </c>
      <c r="C56" t="s">
        <v>32</v>
      </c>
      <c r="D56" t="s">
        <v>46</v>
      </c>
      <c r="E56" t="s">
        <v>97</v>
      </c>
      <c r="F56" t="s">
        <v>139</v>
      </c>
      <c r="G56" t="s">
        <v>151</v>
      </c>
      <c r="H56" t="s">
        <v>202</v>
      </c>
      <c r="I56">
        <v>43654</v>
      </c>
      <c r="J56">
        <v>5632</v>
      </c>
      <c r="K56">
        <v>0</v>
      </c>
      <c r="L56">
        <v>0</v>
      </c>
      <c r="M56">
        <v>0</v>
      </c>
      <c r="N56">
        <v>4</v>
      </c>
    </row>
    <row r="57" spans="2:14" x14ac:dyDescent="0.3">
      <c r="B57" s="18">
        <v>52</v>
      </c>
      <c r="C57" t="s">
        <v>27</v>
      </c>
      <c r="D57" t="s">
        <v>94</v>
      </c>
      <c r="E57" t="s">
        <v>99</v>
      </c>
      <c r="F57" t="s">
        <v>135</v>
      </c>
      <c r="G57" t="s">
        <v>199</v>
      </c>
      <c r="H57" t="s">
        <v>205</v>
      </c>
      <c r="I57">
        <v>43422</v>
      </c>
      <c r="J57">
        <v>2363</v>
      </c>
      <c r="K57">
        <v>0</v>
      </c>
      <c r="L57">
        <v>0</v>
      </c>
      <c r="M57">
        <v>0</v>
      </c>
      <c r="N57">
        <v>198</v>
      </c>
    </row>
    <row r="58" spans="2:14" x14ac:dyDescent="0.3">
      <c r="B58" s="18">
        <v>53</v>
      </c>
      <c r="C58" t="s">
        <v>38</v>
      </c>
      <c r="D58" t="s">
        <v>43</v>
      </c>
      <c r="E58" t="s">
        <v>102</v>
      </c>
      <c r="F58" t="s">
        <v>144</v>
      </c>
      <c r="G58" t="s">
        <v>149</v>
      </c>
      <c r="H58" t="s">
        <v>203</v>
      </c>
      <c r="I58">
        <v>43079</v>
      </c>
      <c r="J58">
        <v>898</v>
      </c>
      <c r="K58">
        <v>0</v>
      </c>
      <c r="L58">
        <v>0</v>
      </c>
      <c r="M58">
        <v>0</v>
      </c>
      <c r="N58">
        <v>115</v>
      </c>
    </row>
    <row r="59" spans="2:14" x14ac:dyDescent="0.3">
      <c r="B59" s="18">
        <v>54</v>
      </c>
      <c r="C59" t="s">
        <v>38</v>
      </c>
      <c r="D59" t="s">
        <v>39</v>
      </c>
      <c r="E59" t="s">
        <v>100</v>
      </c>
      <c r="F59" t="s">
        <v>144</v>
      </c>
      <c r="G59" t="s">
        <v>145</v>
      </c>
      <c r="H59" t="s">
        <v>206</v>
      </c>
      <c r="I59">
        <v>42152</v>
      </c>
      <c r="J59">
        <v>3495</v>
      </c>
      <c r="K59">
        <v>0</v>
      </c>
      <c r="L59">
        <v>0</v>
      </c>
      <c r="M59">
        <v>0</v>
      </c>
      <c r="N59">
        <v>20</v>
      </c>
    </row>
    <row r="60" spans="2:14" x14ac:dyDescent="0.3">
      <c r="B60" s="18">
        <v>55</v>
      </c>
      <c r="C60" t="s">
        <v>27</v>
      </c>
      <c r="D60" t="s">
        <v>48</v>
      </c>
      <c r="E60" t="s">
        <v>115</v>
      </c>
      <c r="F60" t="s">
        <v>135</v>
      </c>
      <c r="G60" t="s">
        <v>153</v>
      </c>
      <c r="H60" t="s">
        <v>209</v>
      </c>
      <c r="I60">
        <v>38331</v>
      </c>
      <c r="J60">
        <v>1606</v>
      </c>
      <c r="K60">
        <v>0</v>
      </c>
      <c r="L60">
        <v>0</v>
      </c>
      <c r="M60">
        <v>0</v>
      </c>
      <c r="N60">
        <v>1282</v>
      </c>
    </row>
    <row r="61" spans="2:14" x14ac:dyDescent="0.3">
      <c r="B61" s="18">
        <v>56</v>
      </c>
      <c r="C61" t="s">
        <v>38</v>
      </c>
      <c r="D61" t="s">
        <v>69</v>
      </c>
      <c r="E61" t="s">
        <v>103</v>
      </c>
      <c r="F61" t="s">
        <v>144</v>
      </c>
      <c r="G61" t="s">
        <v>174</v>
      </c>
      <c r="H61" t="s">
        <v>208</v>
      </c>
      <c r="I61">
        <v>36410</v>
      </c>
      <c r="J61">
        <v>944</v>
      </c>
      <c r="K61">
        <v>0</v>
      </c>
      <c r="L61">
        <v>0</v>
      </c>
      <c r="M61">
        <v>0</v>
      </c>
      <c r="N61">
        <v>0</v>
      </c>
    </row>
    <row r="62" spans="2:14" x14ac:dyDescent="0.3">
      <c r="B62" s="18">
        <v>57</v>
      </c>
      <c r="C62" t="s">
        <v>32</v>
      </c>
      <c r="D62" t="s">
        <v>41</v>
      </c>
      <c r="E62" t="s">
        <v>104</v>
      </c>
      <c r="F62" t="s">
        <v>139</v>
      </c>
      <c r="G62" t="s">
        <v>147</v>
      </c>
      <c r="H62" t="s">
        <v>210</v>
      </c>
      <c r="I62">
        <v>35022</v>
      </c>
      <c r="J62">
        <v>26838</v>
      </c>
      <c r="K62">
        <v>0</v>
      </c>
      <c r="L62">
        <v>130</v>
      </c>
      <c r="M62">
        <v>26</v>
      </c>
      <c r="N62">
        <v>135</v>
      </c>
    </row>
    <row r="63" spans="2:14" x14ac:dyDescent="0.3">
      <c r="B63" s="18">
        <v>58</v>
      </c>
      <c r="C63" t="s">
        <v>38</v>
      </c>
      <c r="D63" t="s">
        <v>43</v>
      </c>
      <c r="E63" t="s">
        <v>105</v>
      </c>
      <c r="F63" t="s">
        <v>144</v>
      </c>
      <c r="G63" t="s">
        <v>149</v>
      </c>
      <c r="H63" t="s">
        <v>211</v>
      </c>
      <c r="I63">
        <v>33449</v>
      </c>
      <c r="J63">
        <v>724</v>
      </c>
      <c r="K63">
        <v>0</v>
      </c>
      <c r="L63">
        <v>0</v>
      </c>
      <c r="M63">
        <v>0</v>
      </c>
      <c r="N63">
        <v>18</v>
      </c>
    </row>
    <row r="64" spans="2:14" x14ac:dyDescent="0.3">
      <c r="B64" s="18">
        <v>59</v>
      </c>
      <c r="C64" t="s">
        <v>32</v>
      </c>
      <c r="D64" t="s">
        <v>41</v>
      </c>
      <c r="E64" t="s">
        <v>108</v>
      </c>
      <c r="F64" t="s">
        <v>139</v>
      </c>
      <c r="G64" t="s">
        <v>147</v>
      </c>
      <c r="H64" t="s">
        <v>214</v>
      </c>
      <c r="I64">
        <v>33297</v>
      </c>
      <c r="J64">
        <v>16668</v>
      </c>
      <c r="K64">
        <v>6150</v>
      </c>
      <c r="L64">
        <v>30</v>
      </c>
      <c r="M64">
        <v>0</v>
      </c>
      <c r="N64">
        <v>0</v>
      </c>
    </row>
    <row r="65" spans="2:14" x14ac:dyDescent="0.3">
      <c r="B65" s="18">
        <v>60</v>
      </c>
      <c r="C65" t="s">
        <v>38</v>
      </c>
      <c r="D65" t="s">
        <v>39</v>
      </c>
      <c r="E65" t="s">
        <v>106</v>
      </c>
      <c r="F65" t="s">
        <v>144</v>
      </c>
      <c r="G65" t="s">
        <v>145</v>
      </c>
      <c r="H65" t="s">
        <v>212</v>
      </c>
      <c r="I65">
        <v>33120</v>
      </c>
      <c r="J65">
        <v>764</v>
      </c>
      <c r="K65">
        <v>0</v>
      </c>
      <c r="L65">
        <v>0</v>
      </c>
      <c r="M65">
        <v>0</v>
      </c>
      <c r="N65">
        <v>25</v>
      </c>
    </row>
    <row r="66" spans="2:14" x14ac:dyDescent="0.3">
      <c r="B66" s="18">
        <v>61</v>
      </c>
      <c r="C66" t="s">
        <v>38</v>
      </c>
      <c r="D66" t="s">
        <v>69</v>
      </c>
      <c r="E66" t="s">
        <v>107</v>
      </c>
      <c r="F66" t="s">
        <v>144</v>
      </c>
      <c r="G66" t="s">
        <v>174</v>
      </c>
      <c r="H66" t="s">
        <v>213</v>
      </c>
      <c r="I66">
        <v>32621</v>
      </c>
      <c r="J66">
        <v>270</v>
      </c>
      <c r="K66">
        <v>0</v>
      </c>
      <c r="L66">
        <v>0</v>
      </c>
      <c r="M66">
        <v>0</v>
      </c>
      <c r="N66">
        <v>0</v>
      </c>
    </row>
    <row r="67" spans="2:14" x14ac:dyDescent="0.3">
      <c r="B67" s="18">
        <v>62</v>
      </c>
      <c r="C67" t="s">
        <v>38</v>
      </c>
      <c r="D67" t="s">
        <v>39</v>
      </c>
      <c r="E67" t="s">
        <v>110</v>
      </c>
      <c r="F67" t="s">
        <v>144</v>
      </c>
      <c r="G67" t="s">
        <v>145</v>
      </c>
      <c r="H67" t="s">
        <v>216</v>
      </c>
      <c r="I67">
        <v>29772</v>
      </c>
      <c r="J67">
        <v>630</v>
      </c>
      <c r="K67">
        <v>0</v>
      </c>
      <c r="L67">
        <v>0</v>
      </c>
      <c r="M67">
        <v>14</v>
      </c>
      <c r="N67">
        <v>157</v>
      </c>
    </row>
    <row r="68" spans="2:14" x14ac:dyDescent="0.3">
      <c r="B68" s="18">
        <v>63</v>
      </c>
      <c r="C68" t="s">
        <v>32</v>
      </c>
      <c r="D68" t="s">
        <v>46</v>
      </c>
      <c r="E68" t="s">
        <v>113</v>
      </c>
      <c r="F68" t="s">
        <v>139</v>
      </c>
      <c r="G68" t="s">
        <v>151</v>
      </c>
      <c r="H68" t="s">
        <v>219</v>
      </c>
      <c r="I68">
        <v>27296</v>
      </c>
      <c r="J68">
        <v>6502</v>
      </c>
      <c r="K68">
        <v>3400</v>
      </c>
      <c r="L68">
        <v>0</v>
      </c>
      <c r="M68">
        <v>0</v>
      </c>
      <c r="N68">
        <v>0</v>
      </c>
    </row>
    <row r="69" spans="2:14" x14ac:dyDescent="0.3">
      <c r="B69" s="18">
        <v>64</v>
      </c>
      <c r="C69" t="s">
        <v>38</v>
      </c>
      <c r="D69" t="s">
        <v>43</v>
      </c>
      <c r="E69" t="s">
        <v>111</v>
      </c>
      <c r="F69" t="s">
        <v>144</v>
      </c>
      <c r="G69" t="s">
        <v>149</v>
      </c>
      <c r="H69" t="s">
        <v>217</v>
      </c>
      <c r="I69">
        <v>26581</v>
      </c>
      <c r="J69">
        <v>2057</v>
      </c>
      <c r="K69">
        <v>0</v>
      </c>
      <c r="L69">
        <v>0</v>
      </c>
      <c r="M69">
        <v>0</v>
      </c>
      <c r="N69">
        <v>35</v>
      </c>
    </row>
    <row r="70" spans="2:14" x14ac:dyDescent="0.3">
      <c r="B70" s="18">
        <v>65</v>
      </c>
      <c r="C70" t="s">
        <v>24</v>
      </c>
      <c r="D70" t="s">
        <v>30</v>
      </c>
      <c r="E70" t="s">
        <v>109</v>
      </c>
      <c r="F70" t="s">
        <v>132</v>
      </c>
      <c r="G70" t="s">
        <v>137</v>
      </c>
      <c r="H70" t="s">
        <v>215</v>
      </c>
      <c r="I70">
        <v>26320</v>
      </c>
      <c r="J70">
        <v>5770</v>
      </c>
      <c r="K70">
        <v>0</v>
      </c>
      <c r="L70">
        <v>100</v>
      </c>
      <c r="M70">
        <v>1680</v>
      </c>
      <c r="N70">
        <v>30</v>
      </c>
    </row>
    <row r="71" spans="2:14" x14ac:dyDescent="0.3">
      <c r="B71" s="18">
        <v>66</v>
      </c>
      <c r="C71" t="s">
        <v>38</v>
      </c>
      <c r="D71" t="s">
        <v>43</v>
      </c>
      <c r="E71" t="s">
        <v>112</v>
      </c>
      <c r="F71" t="s">
        <v>144</v>
      </c>
      <c r="G71" t="s">
        <v>149</v>
      </c>
      <c r="H71" t="s">
        <v>218</v>
      </c>
      <c r="I71">
        <v>25930</v>
      </c>
      <c r="J71">
        <v>681</v>
      </c>
      <c r="K71">
        <v>0</v>
      </c>
      <c r="L71">
        <v>0</v>
      </c>
      <c r="M71">
        <v>0</v>
      </c>
      <c r="N71">
        <v>28</v>
      </c>
    </row>
    <row r="72" spans="2:14" x14ac:dyDescent="0.3">
      <c r="B72" s="18">
        <v>67</v>
      </c>
      <c r="C72" t="s">
        <v>24</v>
      </c>
      <c r="D72" t="s">
        <v>30</v>
      </c>
      <c r="E72" t="s">
        <v>114</v>
      </c>
      <c r="F72" t="s">
        <v>132</v>
      </c>
      <c r="G72" t="s">
        <v>137</v>
      </c>
      <c r="H72" t="s">
        <v>220</v>
      </c>
      <c r="I72">
        <v>19151</v>
      </c>
      <c r="J72">
        <v>4985</v>
      </c>
      <c r="K72">
        <v>0</v>
      </c>
      <c r="L72">
        <v>0</v>
      </c>
      <c r="M72">
        <v>5000</v>
      </c>
      <c r="N72">
        <v>0</v>
      </c>
    </row>
    <row r="73" spans="2:14" x14ac:dyDescent="0.3">
      <c r="B73" s="18">
        <v>68</v>
      </c>
      <c r="C73" t="s">
        <v>56</v>
      </c>
      <c r="D73" t="s">
        <v>62</v>
      </c>
      <c r="E73" t="s">
        <v>117</v>
      </c>
      <c r="F73" t="s">
        <v>161</v>
      </c>
      <c r="G73" t="s">
        <v>167</v>
      </c>
      <c r="H73" t="s">
        <v>167</v>
      </c>
      <c r="I73">
        <v>18517</v>
      </c>
      <c r="J73">
        <v>3966</v>
      </c>
      <c r="K73">
        <v>0</v>
      </c>
      <c r="L73">
        <v>0</v>
      </c>
      <c r="M73">
        <v>59</v>
      </c>
      <c r="N73">
        <v>274</v>
      </c>
    </row>
    <row r="74" spans="2:14" x14ac:dyDescent="0.3">
      <c r="B74" s="18">
        <v>69</v>
      </c>
      <c r="C74" t="s">
        <v>32</v>
      </c>
      <c r="D74" t="s">
        <v>35</v>
      </c>
      <c r="E74" t="s">
        <v>116</v>
      </c>
      <c r="F74" t="s">
        <v>139</v>
      </c>
      <c r="G74" t="s">
        <v>140</v>
      </c>
      <c r="H74" t="s">
        <v>221</v>
      </c>
      <c r="I74">
        <v>18444</v>
      </c>
      <c r="J74">
        <v>333</v>
      </c>
      <c r="K74">
        <v>0</v>
      </c>
      <c r="L74">
        <v>0</v>
      </c>
      <c r="M74">
        <v>0</v>
      </c>
      <c r="N74">
        <v>0</v>
      </c>
    </row>
    <row r="75" spans="2:14" x14ac:dyDescent="0.3">
      <c r="B75" s="18">
        <v>70</v>
      </c>
      <c r="C75" t="s">
        <v>32</v>
      </c>
      <c r="D75" t="s">
        <v>89</v>
      </c>
      <c r="E75" t="s">
        <v>120</v>
      </c>
      <c r="F75" t="s">
        <v>139</v>
      </c>
      <c r="G75" t="s">
        <v>191</v>
      </c>
      <c r="H75" t="s">
        <v>224</v>
      </c>
      <c r="I75">
        <v>18005</v>
      </c>
      <c r="J75">
        <v>327</v>
      </c>
      <c r="K75">
        <v>0</v>
      </c>
      <c r="L75">
        <v>0</v>
      </c>
      <c r="M75">
        <v>0</v>
      </c>
      <c r="N75">
        <v>400</v>
      </c>
    </row>
    <row r="76" spans="2:14" x14ac:dyDescent="0.3">
      <c r="B76" s="18">
        <v>71</v>
      </c>
      <c r="C76" t="s">
        <v>27</v>
      </c>
      <c r="D76" t="s">
        <v>94</v>
      </c>
      <c r="E76" t="s">
        <v>119</v>
      </c>
      <c r="F76" t="s">
        <v>135</v>
      </c>
      <c r="G76" t="s">
        <v>199</v>
      </c>
      <c r="H76" t="s">
        <v>223</v>
      </c>
      <c r="I76">
        <v>17870</v>
      </c>
      <c r="J76">
        <v>615</v>
      </c>
      <c r="K76">
        <v>0</v>
      </c>
      <c r="L76">
        <v>0</v>
      </c>
      <c r="M76">
        <v>0</v>
      </c>
      <c r="N76">
        <v>0</v>
      </c>
    </row>
    <row r="77" spans="2:14" x14ac:dyDescent="0.3">
      <c r="B77" s="18">
        <v>72</v>
      </c>
      <c r="C77" t="s">
        <v>32</v>
      </c>
      <c r="D77" t="s">
        <v>41</v>
      </c>
      <c r="E77" t="s">
        <v>118</v>
      </c>
      <c r="F77" t="s">
        <v>139</v>
      </c>
      <c r="G77" t="s">
        <v>147</v>
      </c>
      <c r="H77" t="s">
        <v>222</v>
      </c>
      <c r="I77">
        <v>17865</v>
      </c>
      <c r="J77">
        <v>9618</v>
      </c>
      <c r="K77">
        <v>0</v>
      </c>
      <c r="L77">
        <v>0</v>
      </c>
      <c r="M77">
        <v>0</v>
      </c>
      <c r="N77">
        <v>0</v>
      </c>
    </row>
    <row r="78" spans="2:14" x14ac:dyDescent="0.3">
      <c r="B78" s="18">
        <v>73</v>
      </c>
      <c r="C78" t="s">
        <v>38</v>
      </c>
      <c r="D78" t="s">
        <v>43</v>
      </c>
      <c r="E78" t="s">
        <v>122</v>
      </c>
      <c r="F78" t="s">
        <v>144</v>
      </c>
      <c r="G78" t="s">
        <v>149</v>
      </c>
      <c r="H78" t="s">
        <v>226</v>
      </c>
      <c r="I78">
        <v>14940</v>
      </c>
      <c r="J78">
        <v>0</v>
      </c>
      <c r="K78">
        <v>0</v>
      </c>
      <c r="L78">
        <v>0</v>
      </c>
      <c r="M78">
        <v>0</v>
      </c>
      <c r="N78">
        <v>10</v>
      </c>
    </row>
    <row r="79" spans="2:14" x14ac:dyDescent="0.3">
      <c r="B79" s="18">
        <v>74</v>
      </c>
      <c r="C79" t="s">
        <v>56</v>
      </c>
      <c r="D79" t="s">
        <v>62</v>
      </c>
      <c r="E79" t="s">
        <v>123</v>
      </c>
      <c r="F79" t="s">
        <v>161</v>
      </c>
      <c r="G79" t="s">
        <v>167</v>
      </c>
      <c r="H79" t="s">
        <v>227</v>
      </c>
      <c r="I79">
        <v>12927</v>
      </c>
      <c r="J79">
        <v>3478</v>
      </c>
      <c r="K79">
        <v>0</v>
      </c>
      <c r="L79">
        <v>0</v>
      </c>
      <c r="M79">
        <v>0</v>
      </c>
      <c r="N79">
        <v>0</v>
      </c>
    </row>
    <row r="80" spans="2:14" x14ac:dyDescent="0.3">
      <c r="B80" s="18">
        <v>75</v>
      </c>
      <c r="C80" t="s">
        <v>27</v>
      </c>
      <c r="D80" t="s">
        <v>28</v>
      </c>
      <c r="E80" t="s">
        <v>124</v>
      </c>
      <c r="F80" t="s">
        <v>135</v>
      </c>
      <c r="G80" t="s">
        <v>136</v>
      </c>
      <c r="H80" t="s">
        <v>228</v>
      </c>
      <c r="I80">
        <v>11844</v>
      </c>
      <c r="J80">
        <v>350</v>
      </c>
      <c r="K80">
        <v>0</v>
      </c>
      <c r="L80">
        <v>0</v>
      </c>
      <c r="M80">
        <v>0</v>
      </c>
      <c r="N80">
        <v>0</v>
      </c>
    </row>
    <row r="81" spans="2:14" x14ac:dyDescent="0.3">
      <c r="B81" s="18">
        <v>76</v>
      </c>
      <c r="C81" t="s">
        <v>32</v>
      </c>
      <c r="D81" t="s">
        <v>46</v>
      </c>
      <c r="E81" t="s">
        <v>125</v>
      </c>
      <c r="F81" t="s">
        <v>139</v>
      </c>
      <c r="G81" t="s">
        <v>151</v>
      </c>
      <c r="H81" t="s">
        <v>229</v>
      </c>
      <c r="I81">
        <v>3961</v>
      </c>
      <c r="J81">
        <v>1726</v>
      </c>
      <c r="K81">
        <v>0</v>
      </c>
      <c r="L81">
        <v>0</v>
      </c>
      <c r="M81">
        <v>0</v>
      </c>
      <c r="N81">
        <v>0</v>
      </c>
    </row>
    <row r="82" spans="2:14" x14ac:dyDescent="0.3">
      <c r="B82" s="18">
        <v>77</v>
      </c>
      <c r="C82" t="s">
        <v>24</v>
      </c>
      <c r="D82" t="s">
        <v>126</v>
      </c>
      <c r="E82" t="s">
        <v>127</v>
      </c>
      <c r="F82" t="s">
        <v>132</v>
      </c>
      <c r="G82" t="s">
        <v>230</v>
      </c>
      <c r="H82" t="s">
        <v>231</v>
      </c>
      <c r="I82">
        <v>198</v>
      </c>
      <c r="J82">
        <v>31</v>
      </c>
      <c r="K82">
        <v>0</v>
      </c>
      <c r="L82">
        <v>0</v>
      </c>
      <c r="M82">
        <v>0</v>
      </c>
      <c r="N82">
        <v>0</v>
      </c>
    </row>
    <row r="83" spans="2:14" x14ac:dyDescent="0.3">
      <c r="B83" s="18" t="s">
        <v>232</v>
      </c>
      <c r="I83" s="38">
        <f>SUBTOTAL(109,Winter_Camps[Total Population])</f>
        <v>9620812</v>
      </c>
      <c r="J83" s="38">
        <f>SUBTOTAL(109,Winter_Camps[IDPs Off-Camps ])</f>
        <v>2297561</v>
      </c>
      <c r="K83" s="38">
        <f>SUBTOTAL(109,Winter_Camps[IDPs In-Camps (IDPs site)])</f>
        <v>2017060</v>
      </c>
      <c r="L83" s="38">
        <f>SUBTOTAL(109,Winter_Camps[Total Arrivals New IDPs (Last 30 days)])</f>
        <v>7612</v>
      </c>
      <c r="M83" s="38">
        <f>SUBTOTAL(109,Winter_Camps[Total Departures (Last 30 days)])</f>
        <v>18378</v>
      </c>
      <c r="N83" s="38">
        <f>SUBTOTAL(109,Winter_Camps[Total Returnees (Last 30 days)])</f>
        <v>17780</v>
      </c>
    </row>
    <row r="84" spans="2:14" x14ac:dyDescent="0.3">
      <c r="B84" s="18"/>
    </row>
    <row r="85" spans="2:14" x14ac:dyDescent="0.3">
      <c r="B85" s="18"/>
    </row>
    <row r="86" spans="2:14" x14ac:dyDescent="0.3">
      <c r="B86" s="18"/>
    </row>
    <row r="87" spans="2:14" x14ac:dyDescent="0.3">
      <c r="B87" s="18"/>
    </row>
    <row r="88" spans="2:14" x14ac:dyDescent="0.3">
      <c r="B88" s="18"/>
    </row>
    <row r="89" spans="2:14" x14ac:dyDescent="0.3">
      <c r="B89" s="18"/>
    </row>
    <row r="90" spans="2:14" x14ac:dyDescent="0.3">
      <c r="B90" s="18"/>
    </row>
    <row r="91" spans="2:14" x14ac:dyDescent="0.3">
      <c r="B91" s="18"/>
    </row>
    <row r="92" spans="2:14" x14ac:dyDescent="0.3">
      <c r="B92" s="18"/>
    </row>
    <row r="93" spans="2:14" x14ac:dyDescent="0.3">
      <c r="B93" s="18"/>
    </row>
    <row r="94" spans="2:14" x14ac:dyDescent="0.3">
      <c r="B94" s="18"/>
    </row>
    <row r="95" spans="2:14" x14ac:dyDescent="0.3">
      <c r="B95" s="18"/>
    </row>
    <row r="96" spans="2:14" x14ac:dyDescent="0.3">
      <c r="B96" s="18"/>
    </row>
    <row r="97" spans="2:2" x14ac:dyDescent="0.3">
      <c r="B97" s="18"/>
    </row>
    <row r="98" spans="2:2" x14ac:dyDescent="0.3">
      <c r="B98" s="18"/>
    </row>
    <row r="99" spans="2:2" x14ac:dyDescent="0.3">
      <c r="B99" s="18"/>
    </row>
    <row r="100" spans="2:2" x14ac:dyDescent="0.3">
      <c r="B100" s="18"/>
    </row>
    <row r="101" spans="2:2" x14ac:dyDescent="0.3">
      <c r="B101" s="18"/>
    </row>
    <row r="102" spans="2:2" x14ac:dyDescent="0.3">
      <c r="B102" s="18"/>
    </row>
    <row r="103" spans="2:2" x14ac:dyDescent="0.3">
      <c r="B103" s="18"/>
    </row>
    <row r="104" spans="2:2" x14ac:dyDescent="0.3">
      <c r="B104" s="18"/>
    </row>
    <row r="105" spans="2:2" x14ac:dyDescent="0.3">
      <c r="B105" s="18"/>
    </row>
    <row r="106" spans="2:2" x14ac:dyDescent="0.3">
      <c r="B106" s="18"/>
    </row>
    <row r="107" spans="2:2" x14ac:dyDescent="0.3">
      <c r="B107" s="18"/>
    </row>
    <row r="108" spans="2:2" x14ac:dyDescent="0.3">
      <c r="B108" s="18"/>
    </row>
    <row r="109" spans="2:2" x14ac:dyDescent="0.3">
      <c r="B109" s="18"/>
    </row>
    <row r="110" spans="2:2" x14ac:dyDescent="0.3">
      <c r="B110" s="18"/>
    </row>
    <row r="111" spans="2:2" x14ac:dyDescent="0.3">
      <c r="B111" s="18"/>
    </row>
    <row r="112" spans="2:2" x14ac:dyDescent="0.3">
      <c r="B112" s="18"/>
    </row>
    <row r="113" spans="2:2" x14ac:dyDescent="0.3">
      <c r="B113" s="18"/>
    </row>
    <row r="114" spans="2:2" x14ac:dyDescent="0.3">
      <c r="B114" s="18"/>
    </row>
    <row r="115" spans="2:2" x14ac:dyDescent="0.3">
      <c r="B115" s="18"/>
    </row>
    <row r="116" spans="2:2" x14ac:dyDescent="0.3">
      <c r="B116" s="18"/>
    </row>
    <row r="117" spans="2:2" x14ac:dyDescent="0.3">
      <c r="B117" s="18"/>
    </row>
    <row r="118" spans="2:2" x14ac:dyDescent="0.3">
      <c r="B118" s="18"/>
    </row>
    <row r="119" spans="2:2" x14ac:dyDescent="0.3">
      <c r="B119" s="18"/>
    </row>
    <row r="120" spans="2:2" x14ac:dyDescent="0.3">
      <c r="B120" s="18"/>
    </row>
    <row r="121" spans="2:2" x14ac:dyDescent="0.3">
      <c r="B121" s="18"/>
    </row>
    <row r="122" spans="2:2" x14ac:dyDescent="0.3">
      <c r="B122" s="18"/>
    </row>
    <row r="123" spans="2:2" x14ac:dyDescent="0.3">
      <c r="B123" s="18"/>
    </row>
    <row r="124" spans="2:2" x14ac:dyDescent="0.3">
      <c r="B124" s="18"/>
    </row>
    <row r="125" spans="2:2" x14ac:dyDescent="0.3">
      <c r="B125" s="18"/>
    </row>
    <row r="126" spans="2:2" x14ac:dyDescent="0.3">
      <c r="B126" s="18"/>
    </row>
    <row r="127" spans="2:2" x14ac:dyDescent="0.3">
      <c r="B127" s="18"/>
    </row>
    <row r="128" spans="2:2" x14ac:dyDescent="0.3">
      <c r="B128" s="18"/>
    </row>
    <row r="129" spans="2:2" x14ac:dyDescent="0.3">
      <c r="B129" s="18"/>
    </row>
    <row r="130" spans="2:2" x14ac:dyDescent="0.3">
      <c r="B130" s="18"/>
    </row>
    <row r="131" spans="2:2" x14ac:dyDescent="0.3">
      <c r="B131" s="18"/>
    </row>
    <row r="132" spans="2:2" x14ac:dyDescent="0.3">
      <c r="B132" s="18"/>
    </row>
    <row r="133" spans="2:2" x14ac:dyDescent="0.3">
      <c r="B133" s="18"/>
    </row>
    <row r="134" spans="2:2" x14ac:dyDescent="0.3">
      <c r="B134" s="18"/>
    </row>
    <row r="135" spans="2:2" x14ac:dyDescent="0.3">
      <c r="B135" s="18"/>
    </row>
    <row r="136" spans="2:2" x14ac:dyDescent="0.3">
      <c r="B136" s="18"/>
    </row>
    <row r="137" spans="2:2" x14ac:dyDescent="0.3">
      <c r="B137" s="18"/>
    </row>
    <row r="138" spans="2:2" x14ac:dyDescent="0.3">
      <c r="B138" s="18"/>
    </row>
    <row r="139" spans="2:2" x14ac:dyDescent="0.3">
      <c r="B139" s="18"/>
    </row>
    <row r="140" spans="2:2" x14ac:dyDescent="0.3">
      <c r="B140" s="18"/>
    </row>
    <row r="141" spans="2:2" x14ac:dyDescent="0.3">
      <c r="B141" s="18"/>
    </row>
    <row r="142" spans="2:2" x14ac:dyDescent="0.3">
      <c r="B142" s="18"/>
    </row>
    <row r="143" spans="2:2" x14ac:dyDescent="0.3">
      <c r="B143" s="18"/>
    </row>
    <row r="144" spans="2:2" x14ac:dyDescent="0.3">
      <c r="B144" s="18"/>
    </row>
    <row r="145" spans="2:2" x14ac:dyDescent="0.3">
      <c r="B145" s="18"/>
    </row>
    <row r="146" spans="2:2" x14ac:dyDescent="0.3">
      <c r="B146" s="18"/>
    </row>
    <row r="147" spans="2:2" x14ac:dyDescent="0.3">
      <c r="B147" s="18"/>
    </row>
    <row r="148" spans="2:2" x14ac:dyDescent="0.3">
      <c r="B148" s="18"/>
    </row>
    <row r="149" spans="2:2" x14ac:dyDescent="0.3">
      <c r="B149" s="18"/>
    </row>
    <row r="150" spans="2:2" x14ac:dyDescent="0.3">
      <c r="B150" s="18"/>
    </row>
    <row r="151" spans="2:2" x14ac:dyDescent="0.3">
      <c r="B151" s="18"/>
    </row>
    <row r="152" spans="2:2" x14ac:dyDescent="0.3">
      <c r="B152" s="18"/>
    </row>
    <row r="153" spans="2:2" x14ac:dyDescent="0.3">
      <c r="B153" s="18"/>
    </row>
    <row r="154" spans="2:2" x14ac:dyDescent="0.3">
      <c r="B154" s="18"/>
    </row>
    <row r="155" spans="2:2" x14ac:dyDescent="0.3">
      <c r="B155" s="18"/>
    </row>
    <row r="156" spans="2:2" x14ac:dyDescent="0.3">
      <c r="B156" s="18"/>
    </row>
    <row r="157" spans="2:2" x14ac:dyDescent="0.3">
      <c r="B157" s="18"/>
    </row>
    <row r="158" spans="2:2" x14ac:dyDescent="0.3">
      <c r="B158" s="18"/>
    </row>
    <row r="159" spans="2:2" x14ac:dyDescent="0.3">
      <c r="B159" s="18"/>
    </row>
    <row r="160" spans="2:2" x14ac:dyDescent="0.3">
      <c r="B160" s="18"/>
    </row>
    <row r="161" spans="2:2" x14ac:dyDescent="0.3">
      <c r="B161" s="18"/>
    </row>
    <row r="162" spans="2:2" x14ac:dyDescent="0.3">
      <c r="B162" s="18"/>
    </row>
    <row r="163" spans="2:2" x14ac:dyDescent="0.3">
      <c r="B163" s="18"/>
    </row>
    <row r="164" spans="2:2" x14ac:dyDescent="0.3">
      <c r="B164" s="18"/>
    </row>
    <row r="165" spans="2:2" x14ac:dyDescent="0.3">
      <c r="B165" s="18"/>
    </row>
    <row r="166" spans="2:2" x14ac:dyDescent="0.3">
      <c r="B166" s="18"/>
    </row>
    <row r="167" spans="2:2" x14ac:dyDescent="0.3">
      <c r="B167" s="18"/>
    </row>
    <row r="168" spans="2:2" x14ac:dyDescent="0.3">
      <c r="B168" s="18"/>
    </row>
    <row r="169" spans="2:2" x14ac:dyDescent="0.3">
      <c r="B169" s="18"/>
    </row>
    <row r="170" spans="2:2" x14ac:dyDescent="0.3">
      <c r="B170" s="18"/>
    </row>
    <row r="171" spans="2:2" x14ac:dyDescent="0.3">
      <c r="B171" s="18"/>
    </row>
    <row r="172" spans="2:2" x14ac:dyDescent="0.3">
      <c r="B172" s="18"/>
    </row>
    <row r="173" spans="2:2" x14ac:dyDescent="0.3">
      <c r="B173" s="18"/>
    </row>
    <row r="174" spans="2:2" x14ac:dyDescent="0.3">
      <c r="B174" s="18"/>
    </row>
    <row r="175" spans="2:2" x14ac:dyDescent="0.3">
      <c r="B175" s="18"/>
    </row>
    <row r="176" spans="2:2" x14ac:dyDescent="0.3">
      <c r="B176" s="18"/>
    </row>
    <row r="177" spans="2:2" x14ac:dyDescent="0.3">
      <c r="B177" s="18"/>
    </row>
    <row r="178" spans="2:2" x14ac:dyDescent="0.3">
      <c r="B178" s="18"/>
    </row>
    <row r="179" spans="2:2" x14ac:dyDescent="0.3">
      <c r="B179" s="18"/>
    </row>
    <row r="180" spans="2:2" x14ac:dyDescent="0.3">
      <c r="B180" s="18"/>
    </row>
    <row r="181" spans="2:2" x14ac:dyDescent="0.3">
      <c r="B181" s="18"/>
    </row>
    <row r="182" spans="2:2" x14ac:dyDescent="0.3">
      <c r="B182" s="18"/>
    </row>
    <row r="183" spans="2:2" x14ac:dyDescent="0.3">
      <c r="B183" s="18"/>
    </row>
    <row r="184" spans="2:2" x14ac:dyDescent="0.3">
      <c r="B184" s="18"/>
    </row>
    <row r="185" spans="2:2" x14ac:dyDescent="0.3">
      <c r="B185" s="18"/>
    </row>
    <row r="186" spans="2:2" x14ac:dyDescent="0.3">
      <c r="B186" s="18"/>
    </row>
    <row r="187" spans="2:2" x14ac:dyDescent="0.3">
      <c r="B187" s="18"/>
    </row>
    <row r="188" spans="2:2" x14ac:dyDescent="0.3">
      <c r="B188" s="18"/>
    </row>
    <row r="189" spans="2:2" x14ac:dyDescent="0.3">
      <c r="B189" s="18"/>
    </row>
    <row r="190" spans="2:2" x14ac:dyDescent="0.3">
      <c r="B190" s="18"/>
    </row>
    <row r="191" spans="2:2" x14ac:dyDescent="0.3">
      <c r="B191" s="18"/>
    </row>
    <row r="192" spans="2:2" x14ac:dyDescent="0.3">
      <c r="B192" s="18"/>
    </row>
    <row r="193" spans="2:2" x14ac:dyDescent="0.3">
      <c r="B193" s="18"/>
    </row>
    <row r="194" spans="2:2" x14ac:dyDescent="0.3">
      <c r="B194" s="18"/>
    </row>
    <row r="195" spans="2:2" x14ac:dyDescent="0.3">
      <c r="B195" s="18"/>
    </row>
    <row r="196" spans="2:2" x14ac:dyDescent="0.3">
      <c r="B196" s="18"/>
    </row>
    <row r="197" spans="2:2" x14ac:dyDescent="0.3">
      <c r="B197" s="18"/>
    </row>
    <row r="198" spans="2:2" x14ac:dyDescent="0.3">
      <c r="B198" s="18"/>
    </row>
    <row r="199" spans="2:2" x14ac:dyDescent="0.3">
      <c r="B199" s="18"/>
    </row>
    <row r="200" spans="2:2" x14ac:dyDescent="0.3">
      <c r="B200" s="18"/>
    </row>
    <row r="201" spans="2:2" x14ac:dyDescent="0.3">
      <c r="B201" s="18"/>
    </row>
    <row r="202" spans="2:2" x14ac:dyDescent="0.3">
      <c r="B202" s="18"/>
    </row>
    <row r="203" spans="2:2" x14ac:dyDescent="0.3">
      <c r="B203" s="18"/>
    </row>
    <row r="204" spans="2:2" x14ac:dyDescent="0.3">
      <c r="B204" s="18"/>
    </row>
    <row r="205" spans="2:2" x14ac:dyDescent="0.3">
      <c r="B205" s="18"/>
    </row>
    <row r="206" spans="2:2" x14ac:dyDescent="0.3">
      <c r="B206" s="18"/>
    </row>
    <row r="207" spans="2:2" x14ac:dyDescent="0.3">
      <c r="B207" s="18"/>
    </row>
    <row r="208" spans="2:2" x14ac:dyDescent="0.3">
      <c r="B208" s="18"/>
    </row>
    <row r="209" spans="2:2" x14ac:dyDescent="0.3">
      <c r="B209" s="18"/>
    </row>
    <row r="210" spans="2:2" x14ac:dyDescent="0.3">
      <c r="B210" s="18"/>
    </row>
    <row r="211" spans="2:2" x14ac:dyDescent="0.3">
      <c r="B211" s="18"/>
    </row>
    <row r="212" spans="2:2" x14ac:dyDescent="0.3">
      <c r="B212" s="18"/>
    </row>
    <row r="213" spans="2:2" x14ac:dyDescent="0.3">
      <c r="B213" s="18"/>
    </row>
    <row r="214" spans="2:2" x14ac:dyDescent="0.3">
      <c r="B214" s="18"/>
    </row>
    <row r="215" spans="2:2" x14ac:dyDescent="0.3">
      <c r="B215" s="18"/>
    </row>
    <row r="216" spans="2:2" x14ac:dyDescent="0.3">
      <c r="B216" s="18"/>
    </row>
    <row r="217" spans="2:2" x14ac:dyDescent="0.3">
      <c r="B217" s="18"/>
    </row>
    <row r="218" spans="2:2" x14ac:dyDescent="0.3">
      <c r="B218" s="18"/>
    </row>
    <row r="219" spans="2:2" x14ac:dyDescent="0.3">
      <c r="B219" s="18"/>
    </row>
    <row r="220" spans="2:2" x14ac:dyDescent="0.3">
      <c r="B220" s="18"/>
    </row>
    <row r="221" spans="2:2" x14ac:dyDescent="0.3">
      <c r="B221" s="18"/>
    </row>
    <row r="222" spans="2:2" x14ac:dyDescent="0.3">
      <c r="B222" s="18"/>
    </row>
    <row r="223" spans="2:2" x14ac:dyDescent="0.3">
      <c r="B223" s="18"/>
    </row>
    <row r="224" spans="2:2" x14ac:dyDescent="0.3">
      <c r="B224" s="18"/>
    </row>
    <row r="225" spans="2:2" x14ac:dyDescent="0.3">
      <c r="B225" s="18"/>
    </row>
    <row r="226" spans="2:2" x14ac:dyDescent="0.3">
      <c r="B226" s="18"/>
    </row>
    <row r="227" spans="2:2" x14ac:dyDescent="0.3">
      <c r="B227" s="18"/>
    </row>
    <row r="228" spans="2:2" x14ac:dyDescent="0.3">
      <c r="B228" s="18"/>
    </row>
    <row r="229" spans="2:2" x14ac:dyDescent="0.3">
      <c r="B229" s="18"/>
    </row>
    <row r="230" spans="2:2" x14ac:dyDescent="0.3">
      <c r="B230" s="18"/>
    </row>
    <row r="231" spans="2:2" x14ac:dyDescent="0.3">
      <c r="B231" s="18"/>
    </row>
    <row r="232" spans="2:2" x14ac:dyDescent="0.3">
      <c r="B232" s="18"/>
    </row>
    <row r="233" spans="2:2" x14ac:dyDescent="0.3">
      <c r="B233" s="18"/>
    </row>
    <row r="234" spans="2:2" x14ac:dyDescent="0.3">
      <c r="B234" s="18"/>
    </row>
    <row r="235" spans="2:2" x14ac:dyDescent="0.3">
      <c r="B235" s="18"/>
    </row>
    <row r="236" spans="2:2" x14ac:dyDescent="0.3">
      <c r="B236" s="18"/>
    </row>
    <row r="237" spans="2:2" x14ac:dyDescent="0.3">
      <c r="B237" s="18"/>
    </row>
    <row r="238" spans="2:2" x14ac:dyDescent="0.3">
      <c r="B238" s="18"/>
    </row>
    <row r="239" spans="2:2" x14ac:dyDescent="0.3">
      <c r="B239" s="18"/>
    </row>
    <row r="240" spans="2:2" x14ac:dyDescent="0.3">
      <c r="B240" s="18"/>
    </row>
    <row r="241" spans="2:2" x14ac:dyDescent="0.3">
      <c r="B241" s="18"/>
    </row>
    <row r="242" spans="2:2" x14ac:dyDescent="0.3">
      <c r="B242" s="18"/>
    </row>
    <row r="243" spans="2:2" x14ac:dyDescent="0.3">
      <c r="B243" s="18"/>
    </row>
    <row r="244" spans="2:2" x14ac:dyDescent="0.3">
      <c r="B244" s="18"/>
    </row>
    <row r="245" spans="2:2" x14ac:dyDescent="0.3">
      <c r="B245" s="18"/>
    </row>
    <row r="246" spans="2:2" x14ac:dyDescent="0.3">
      <c r="B246" s="18"/>
    </row>
    <row r="247" spans="2:2" x14ac:dyDescent="0.3">
      <c r="B247" s="18"/>
    </row>
    <row r="248" spans="2:2" x14ac:dyDescent="0.3">
      <c r="B248" s="18"/>
    </row>
    <row r="249" spans="2:2" x14ac:dyDescent="0.3">
      <c r="B249" s="18"/>
    </row>
    <row r="250" spans="2:2" x14ac:dyDescent="0.3">
      <c r="B250" s="18"/>
    </row>
    <row r="251" spans="2:2" x14ac:dyDescent="0.3">
      <c r="B251" s="18"/>
    </row>
    <row r="252" spans="2:2" x14ac:dyDescent="0.3">
      <c r="B252" s="18"/>
    </row>
    <row r="253" spans="2:2" x14ac:dyDescent="0.3">
      <c r="B253" s="18"/>
    </row>
    <row r="254" spans="2:2" x14ac:dyDescent="0.3">
      <c r="B254" s="18"/>
    </row>
    <row r="255" spans="2:2" x14ac:dyDescent="0.3">
      <c r="B255" s="18"/>
    </row>
    <row r="256" spans="2:2" x14ac:dyDescent="0.3">
      <c r="B256" s="18"/>
    </row>
    <row r="257" spans="2:2" x14ac:dyDescent="0.3">
      <c r="B257" s="18"/>
    </row>
    <row r="258" spans="2:2" x14ac:dyDescent="0.3">
      <c r="B258" s="18"/>
    </row>
    <row r="259" spans="2:2" x14ac:dyDescent="0.3">
      <c r="B259" s="18"/>
    </row>
    <row r="260" spans="2:2" x14ac:dyDescent="0.3">
      <c r="B260" s="18"/>
    </row>
    <row r="261" spans="2:2" x14ac:dyDescent="0.3">
      <c r="B261" s="18"/>
    </row>
    <row r="262" spans="2:2" x14ac:dyDescent="0.3">
      <c r="B262" s="18"/>
    </row>
    <row r="263" spans="2:2" x14ac:dyDescent="0.3">
      <c r="B263" s="18"/>
    </row>
    <row r="264" spans="2:2" x14ac:dyDescent="0.3">
      <c r="B264" s="18"/>
    </row>
    <row r="265" spans="2:2" x14ac:dyDescent="0.3">
      <c r="B265" s="18"/>
    </row>
    <row r="266" spans="2:2" x14ac:dyDescent="0.3">
      <c r="B266" s="18"/>
    </row>
    <row r="267" spans="2:2" x14ac:dyDescent="0.3">
      <c r="B267" s="18"/>
    </row>
    <row r="268" spans="2:2" x14ac:dyDescent="0.3">
      <c r="B268" s="18"/>
    </row>
    <row r="269" spans="2:2" x14ac:dyDescent="0.3">
      <c r="B269" s="18"/>
    </row>
    <row r="270" spans="2:2" x14ac:dyDescent="0.3">
      <c r="B270" s="18"/>
    </row>
    <row r="271" spans="2:2" x14ac:dyDescent="0.3">
      <c r="B271" s="18"/>
    </row>
    <row r="272" spans="2:2" x14ac:dyDescent="0.3">
      <c r="B272" s="18"/>
    </row>
    <row r="273" spans="2:2" x14ac:dyDescent="0.3">
      <c r="B273" s="18"/>
    </row>
    <row r="274" spans="2:2" x14ac:dyDescent="0.3">
      <c r="B274" s="18"/>
    </row>
    <row r="275" spans="2:2" x14ac:dyDescent="0.3">
      <c r="B275" s="18"/>
    </row>
    <row r="276" spans="2:2" x14ac:dyDescent="0.3">
      <c r="B276" s="18"/>
    </row>
    <row r="277" spans="2:2" x14ac:dyDescent="0.3">
      <c r="B277" s="18"/>
    </row>
    <row r="278" spans="2:2" x14ac:dyDescent="0.3">
      <c r="B278" s="18"/>
    </row>
    <row r="279" spans="2:2" x14ac:dyDescent="0.3">
      <c r="B279" s="18"/>
    </row>
    <row r="280" spans="2:2" x14ac:dyDescent="0.3">
      <c r="B280" s="18"/>
    </row>
    <row r="281" spans="2:2" x14ac:dyDescent="0.3">
      <c r="B281" s="18"/>
    </row>
    <row r="282" spans="2:2" x14ac:dyDescent="0.3">
      <c r="B282" s="18"/>
    </row>
    <row r="283" spans="2:2" x14ac:dyDescent="0.3">
      <c r="B283" s="18"/>
    </row>
    <row r="284" spans="2:2" x14ac:dyDescent="0.3">
      <c r="B284" s="18"/>
    </row>
    <row r="285" spans="2:2" x14ac:dyDescent="0.3">
      <c r="B285" s="18"/>
    </row>
    <row r="286" spans="2:2" x14ac:dyDescent="0.3">
      <c r="B286" s="18"/>
    </row>
    <row r="287" spans="2:2" x14ac:dyDescent="0.3">
      <c r="B287" s="18"/>
    </row>
    <row r="288" spans="2:2" x14ac:dyDescent="0.3">
      <c r="B288" s="18"/>
    </row>
    <row r="289" spans="2:2" x14ac:dyDescent="0.3">
      <c r="B289" s="18"/>
    </row>
    <row r="290" spans="2:2" x14ac:dyDescent="0.3">
      <c r="B290" s="18"/>
    </row>
    <row r="291" spans="2:2" x14ac:dyDescent="0.3">
      <c r="B291" s="18"/>
    </row>
    <row r="292" spans="2:2" x14ac:dyDescent="0.3">
      <c r="B292" s="18"/>
    </row>
    <row r="293" spans="2:2" x14ac:dyDescent="0.3">
      <c r="B293" s="18"/>
    </row>
    <row r="294" spans="2:2" x14ac:dyDescent="0.3">
      <c r="B294" s="18"/>
    </row>
    <row r="295" spans="2:2" x14ac:dyDescent="0.3">
      <c r="B295" s="18"/>
    </row>
    <row r="296" spans="2:2" x14ac:dyDescent="0.3">
      <c r="B296" s="18"/>
    </row>
    <row r="297" spans="2:2" x14ac:dyDescent="0.3">
      <c r="B297" s="18"/>
    </row>
    <row r="298" spans="2:2" x14ac:dyDescent="0.3">
      <c r="B298" s="18"/>
    </row>
    <row r="299" spans="2:2" x14ac:dyDescent="0.3">
      <c r="B299" s="18"/>
    </row>
    <row r="300" spans="2:2" x14ac:dyDescent="0.3">
      <c r="B300" s="18"/>
    </row>
    <row r="301" spans="2:2" x14ac:dyDescent="0.3">
      <c r="B301" s="18"/>
    </row>
    <row r="302" spans="2:2" x14ac:dyDescent="0.3">
      <c r="B302" s="18"/>
    </row>
    <row r="303" spans="2:2" x14ac:dyDescent="0.3">
      <c r="B303" s="18"/>
    </row>
    <row r="304" spans="2:2" x14ac:dyDescent="0.3">
      <c r="B304" s="18"/>
    </row>
    <row r="305" spans="2:2" x14ac:dyDescent="0.3">
      <c r="B305" s="18"/>
    </row>
    <row r="306" spans="2:2" x14ac:dyDescent="0.3">
      <c r="B306" s="18"/>
    </row>
    <row r="307" spans="2:2" x14ac:dyDescent="0.3">
      <c r="B307" s="18"/>
    </row>
    <row r="308" spans="2:2" x14ac:dyDescent="0.3">
      <c r="B308" s="18"/>
    </row>
    <row r="309" spans="2:2" x14ac:dyDescent="0.3">
      <c r="B309" s="18"/>
    </row>
    <row r="310" spans="2:2" x14ac:dyDescent="0.3">
      <c r="B310" s="18"/>
    </row>
    <row r="311" spans="2:2" x14ac:dyDescent="0.3">
      <c r="B311" s="18"/>
    </row>
    <row r="312" spans="2:2" x14ac:dyDescent="0.3">
      <c r="B312" s="18"/>
    </row>
    <row r="313" spans="2:2" x14ac:dyDescent="0.3">
      <c r="B313" s="18"/>
    </row>
    <row r="314" spans="2:2" x14ac:dyDescent="0.3">
      <c r="B314" s="18"/>
    </row>
    <row r="315" spans="2:2" x14ac:dyDescent="0.3">
      <c r="B315" s="18"/>
    </row>
    <row r="316" spans="2:2" x14ac:dyDescent="0.3">
      <c r="B316" s="18"/>
    </row>
    <row r="317" spans="2:2" x14ac:dyDescent="0.3">
      <c r="B317" s="18"/>
    </row>
    <row r="318" spans="2:2" x14ac:dyDescent="0.3">
      <c r="B318" s="18"/>
    </row>
    <row r="319" spans="2:2" x14ac:dyDescent="0.3">
      <c r="B319" s="18"/>
    </row>
    <row r="320" spans="2:2" x14ac:dyDescent="0.3">
      <c r="B320" s="18"/>
    </row>
    <row r="321" spans="2:2" x14ac:dyDescent="0.3">
      <c r="B321" s="18"/>
    </row>
    <row r="322" spans="2:2" x14ac:dyDescent="0.3">
      <c r="B322" s="18"/>
    </row>
    <row r="323" spans="2:2" x14ac:dyDescent="0.3">
      <c r="B323" s="18"/>
    </row>
    <row r="324" spans="2:2" x14ac:dyDescent="0.3">
      <c r="B324" s="18"/>
    </row>
    <row r="325" spans="2:2" x14ac:dyDescent="0.3">
      <c r="B325" s="18"/>
    </row>
    <row r="326" spans="2:2" x14ac:dyDescent="0.3">
      <c r="B326" s="18"/>
    </row>
    <row r="327" spans="2:2" x14ac:dyDescent="0.3">
      <c r="B327" s="18"/>
    </row>
    <row r="328" spans="2:2" x14ac:dyDescent="0.3">
      <c r="B328" s="18"/>
    </row>
    <row r="329" spans="2:2" x14ac:dyDescent="0.3">
      <c r="B329" s="18"/>
    </row>
    <row r="330" spans="2:2" x14ac:dyDescent="0.3">
      <c r="B330" s="18"/>
    </row>
    <row r="331" spans="2:2" x14ac:dyDescent="0.3">
      <c r="B331" s="18"/>
    </row>
    <row r="332" spans="2:2" x14ac:dyDescent="0.3">
      <c r="B332" s="18"/>
    </row>
    <row r="333" spans="2:2" x14ac:dyDescent="0.3">
      <c r="B333" s="18"/>
    </row>
    <row r="334" spans="2:2" x14ac:dyDescent="0.3">
      <c r="B334" s="18"/>
    </row>
    <row r="335" spans="2:2" x14ac:dyDescent="0.3">
      <c r="B335" s="18"/>
    </row>
    <row r="336" spans="2:2" x14ac:dyDescent="0.3">
      <c r="B336" s="18"/>
    </row>
    <row r="337" spans="2:2" x14ac:dyDescent="0.3">
      <c r="B337" s="18"/>
    </row>
    <row r="338" spans="2:2" x14ac:dyDescent="0.3">
      <c r="B338" s="18"/>
    </row>
    <row r="339" spans="2:2" x14ac:dyDescent="0.3">
      <c r="B339" s="18"/>
    </row>
    <row r="340" spans="2:2" x14ac:dyDescent="0.3">
      <c r="B340" s="18"/>
    </row>
    <row r="341" spans="2:2" x14ac:dyDescent="0.3">
      <c r="B341" s="18"/>
    </row>
    <row r="342" spans="2:2" x14ac:dyDescent="0.3">
      <c r="B342" s="18"/>
    </row>
    <row r="343" spans="2:2" x14ac:dyDescent="0.3">
      <c r="B343" s="18"/>
    </row>
    <row r="344" spans="2:2" x14ac:dyDescent="0.3">
      <c r="B344" s="18"/>
    </row>
    <row r="345" spans="2:2" x14ac:dyDescent="0.3">
      <c r="B345" s="18"/>
    </row>
    <row r="346" spans="2:2" x14ac:dyDescent="0.3">
      <c r="B346" s="18"/>
    </row>
    <row r="347" spans="2:2" x14ac:dyDescent="0.3">
      <c r="B347" s="18"/>
    </row>
    <row r="348" spans="2:2" x14ac:dyDescent="0.3">
      <c r="B348" s="18"/>
    </row>
    <row r="349" spans="2:2" x14ac:dyDescent="0.3">
      <c r="B349" s="18"/>
    </row>
    <row r="350" spans="2:2" x14ac:dyDescent="0.3">
      <c r="B350" s="18"/>
    </row>
    <row r="351" spans="2:2" x14ac:dyDescent="0.3">
      <c r="B351" s="18"/>
    </row>
    <row r="352" spans="2:2" x14ac:dyDescent="0.3">
      <c r="B352" s="18"/>
    </row>
    <row r="353" spans="2:2" x14ac:dyDescent="0.3">
      <c r="B353" s="18"/>
    </row>
    <row r="354" spans="2:2" x14ac:dyDescent="0.3">
      <c r="B354" s="18"/>
    </row>
    <row r="355" spans="2:2" x14ac:dyDescent="0.3">
      <c r="B355" s="18"/>
    </row>
    <row r="356" spans="2:2" x14ac:dyDescent="0.3">
      <c r="B356" s="18"/>
    </row>
    <row r="357" spans="2:2" x14ac:dyDescent="0.3">
      <c r="B357" s="18"/>
    </row>
    <row r="358" spans="2:2" x14ac:dyDescent="0.3">
      <c r="B358" s="18"/>
    </row>
    <row r="359" spans="2:2" x14ac:dyDescent="0.3">
      <c r="B359" s="18"/>
    </row>
    <row r="360" spans="2:2" x14ac:dyDescent="0.3">
      <c r="B360" s="18"/>
    </row>
    <row r="361" spans="2:2" x14ac:dyDescent="0.3">
      <c r="B361" s="18"/>
    </row>
    <row r="362" spans="2:2" x14ac:dyDescent="0.3">
      <c r="B362" s="18"/>
    </row>
    <row r="363" spans="2:2" x14ac:dyDescent="0.3">
      <c r="B363" s="18"/>
    </row>
    <row r="364" spans="2:2" x14ac:dyDescent="0.3">
      <c r="B364" s="18"/>
    </row>
    <row r="365" spans="2:2" x14ac:dyDescent="0.3">
      <c r="B365" s="18"/>
    </row>
    <row r="366" spans="2:2" x14ac:dyDescent="0.3">
      <c r="B366" s="18"/>
    </row>
    <row r="367" spans="2:2" x14ac:dyDescent="0.3">
      <c r="B367" s="18"/>
    </row>
    <row r="368" spans="2:2" x14ac:dyDescent="0.3">
      <c r="B368" s="18"/>
    </row>
    <row r="369" spans="2:2" x14ac:dyDescent="0.3">
      <c r="B369" s="18"/>
    </row>
    <row r="370" spans="2:2" x14ac:dyDescent="0.3">
      <c r="B370" s="18"/>
    </row>
    <row r="371" spans="2:2" x14ac:dyDescent="0.3">
      <c r="B371" s="18"/>
    </row>
    <row r="372" spans="2:2" x14ac:dyDescent="0.3">
      <c r="B372" s="18"/>
    </row>
    <row r="373" spans="2:2" x14ac:dyDescent="0.3">
      <c r="B373" s="18"/>
    </row>
    <row r="374" spans="2:2" x14ac:dyDescent="0.3">
      <c r="B374" s="18"/>
    </row>
    <row r="375" spans="2:2" x14ac:dyDescent="0.3">
      <c r="B375" s="18"/>
    </row>
    <row r="376" spans="2:2" x14ac:dyDescent="0.3">
      <c r="B376" s="18"/>
    </row>
    <row r="377" spans="2:2" x14ac:dyDescent="0.3">
      <c r="B377" s="18"/>
    </row>
    <row r="378" spans="2:2" x14ac:dyDescent="0.3">
      <c r="B378" s="18"/>
    </row>
    <row r="379" spans="2:2" x14ac:dyDescent="0.3">
      <c r="B379" s="18"/>
    </row>
    <row r="380" spans="2:2" x14ac:dyDescent="0.3">
      <c r="B380" s="18"/>
    </row>
    <row r="381" spans="2:2" x14ac:dyDescent="0.3">
      <c r="B381" s="18"/>
    </row>
    <row r="382" spans="2:2" x14ac:dyDescent="0.3">
      <c r="B382" s="18"/>
    </row>
    <row r="383" spans="2:2" x14ac:dyDescent="0.3">
      <c r="B383" s="18"/>
    </row>
    <row r="384" spans="2:2" x14ac:dyDescent="0.3">
      <c r="B384" s="18"/>
    </row>
    <row r="385" spans="2:2" x14ac:dyDescent="0.3">
      <c r="B385" s="18"/>
    </row>
    <row r="386" spans="2:2" x14ac:dyDescent="0.3">
      <c r="B386" s="18"/>
    </row>
    <row r="387" spans="2:2" x14ac:dyDescent="0.3">
      <c r="B387" s="18"/>
    </row>
    <row r="388" spans="2:2" x14ac:dyDescent="0.3">
      <c r="B388" s="18"/>
    </row>
    <row r="389" spans="2:2" x14ac:dyDescent="0.3">
      <c r="B389" s="18"/>
    </row>
    <row r="390" spans="2:2" x14ac:dyDescent="0.3">
      <c r="B390" s="18"/>
    </row>
    <row r="391" spans="2:2" x14ac:dyDescent="0.3">
      <c r="B391" s="18"/>
    </row>
    <row r="392" spans="2:2" x14ac:dyDescent="0.3">
      <c r="B392" s="18"/>
    </row>
    <row r="393" spans="2:2" x14ac:dyDescent="0.3">
      <c r="B393" s="18"/>
    </row>
    <row r="394" spans="2:2" x14ac:dyDescent="0.3">
      <c r="B394" s="18"/>
    </row>
    <row r="395" spans="2:2" x14ac:dyDescent="0.3">
      <c r="B395" s="18"/>
    </row>
    <row r="396" spans="2:2" x14ac:dyDescent="0.3">
      <c r="B396" s="18"/>
    </row>
    <row r="397" spans="2:2" x14ac:dyDescent="0.3">
      <c r="B397" s="18"/>
    </row>
    <row r="398" spans="2:2" x14ac:dyDescent="0.3">
      <c r="B398" s="18"/>
    </row>
    <row r="399" spans="2:2" x14ac:dyDescent="0.3">
      <c r="B399" s="18"/>
    </row>
    <row r="400" spans="2:2" x14ac:dyDescent="0.3">
      <c r="B400" s="18"/>
    </row>
    <row r="401" spans="2:2" x14ac:dyDescent="0.3">
      <c r="B401" s="18"/>
    </row>
    <row r="402" spans="2:2" x14ac:dyDescent="0.3">
      <c r="B402" s="18"/>
    </row>
    <row r="403" spans="2:2" x14ac:dyDescent="0.3">
      <c r="B403" s="18"/>
    </row>
    <row r="404" spans="2:2" x14ac:dyDescent="0.3">
      <c r="B404" s="18"/>
    </row>
    <row r="405" spans="2:2" x14ac:dyDescent="0.3">
      <c r="B405" s="18"/>
    </row>
    <row r="406" spans="2:2" x14ac:dyDescent="0.3">
      <c r="B406" s="18"/>
    </row>
    <row r="407" spans="2:2" x14ac:dyDescent="0.3">
      <c r="B407" s="18"/>
    </row>
    <row r="408" spans="2:2" x14ac:dyDescent="0.3">
      <c r="B408" s="18"/>
    </row>
    <row r="409" spans="2:2" x14ac:dyDescent="0.3">
      <c r="B409" s="18"/>
    </row>
    <row r="410" spans="2:2" x14ac:dyDescent="0.3">
      <c r="B410" s="18"/>
    </row>
    <row r="411" spans="2:2" x14ac:dyDescent="0.3">
      <c r="B411" s="18"/>
    </row>
    <row r="412" spans="2:2" x14ac:dyDescent="0.3">
      <c r="B412" s="18"/>
    </row>
    <row r="413" spans="2:2" x14ac:dyDescent="0.3">
      <c r="B413" s="18"/>
    </row>
    <row r="414" spans="2:2" x14ac:dyDescent="0.3">
      <c r="B414" s="18"/>
    </row>
    <row r="415" spans="2:2" x14ac:dyDescent="0.3">
      <c r="B415" s="18"/>
    </row>
    <row r="416" spans="2:2" x14ac:dyDescent="0.3">
      <c r="B416" s="18"/>
    </row>
    <row r="417" spans="2:2" x14ac:dyDescent="0.3">
      <c r="B417" s="18"/>
    </row>
    <row r="418" spans="2:2" x14ac:dyDescent="0.3">
      <c r="B418" s="18"/>
    </row>
    <row r="419" spans="2:2" x14ac:dyDescent="0.3">
      <c r="B419" s="18"/>
    </row>
    <row r="420" spans="2:2" x14ac:dyDescent="0.3">
      <c r="B420" s="18"/>
    </row>
    <row r="421" spans="2:2" x14ac:dyDescent="0.3">
      <c r="B421" s="18"/>
    </row>
    <row r="422" spans="2:2" x14ac:dyDescent="0.3">
      <c r="B422" s="18"/>
    </row>
    <row r="423" spans="2:2" x14ac:dyDescent="0.3">
      <c r="B423" s="18"/>
    </row>
    <row r="424" spans="2:2" x14ac:dyDescent="0.3">
      <c r="B424" s="18"/>
    </row>
    <row r="425" spans="2:2" x14ac:dyDescent="0.3">
      <c r="B425" s="18"/>
    </row>
    <row r="426" spans="2:2" x14ac:dyDescent="0.3">
      <c r="B426" s="18"/>
    </row>
    <row r="427" spans="2:2" x14ac:dyDescent="0.3">
      <c r="B427" s="18"/>
    </row>
    <row r="428" spans="2:2" x14ac:dyDescent="0.3">
      <c r="B428" s="18"/>
    </row>
    <row r="429" spans="2:2" x14ac:dyDescent="0.3">
      <c r="B429" s="18"/>
    </row>
    <row r="430" spans="2:2" x14ac:dyDescent="0.3">
      <c r="B430" s="18"/>
    </row>
    <row r="431" spans="2:2" x14ac:dyDescent="0.3">
      <c r="B431" s="18"/>
    </row>
    <row r="432" spans="2:2" x14ac:dyDescent="0.3">
      <c r="B432" s="18"/>
    </row>
    <row r="433" spans="2:2" x14ac:dyDescent="0.3">
      <c r="B433" s="18"/>
    </row>
    <row r="434" spans="2:2" x14ac:dyDescent="0.3">
      <c r="B434" s="18"/>
    </row>
    <row r="435" spans="2:2" x14ac:dyDescent="0.3">
      <c r="B435" s="18"/>
    </row>
    <row r="436" spans="2:2" x14ac:dyDescent="0.3">
      <c r="B436" s="18"/>
    </row>
    <row r="437" spans="2:2" x14ac:dyDescent="0.3">
      <c r="B437" s="18"/>
    </row>
    <row r="438" spans="2:2" x14ac:dyDescent="0.3">
      <c r="B438" s="18"/>
    </row>
    <row r="439" spans="2:2" x14ac:dyDescent="0.3">
      <c r="B439" s="18"/>
    </row>
    <row r="440" spans="2:2" x14ac:dyDescent="0.3">
      <c r="B440" s="18"/>
    </row>
    <row r="441" spans="2:2" x14ac:dyDescent="0.3">
      <c r="B441" s="18"/>
    </row>
    <row r="442" spans="2:2" x14ac:dyDescent="0.3">
      <c r="B442" s="18"/>
    </row>
    <row r="443" spans="2:2" x14ac:dyDescent="0.3">
      <c r="B443" s="18"/>
    </row>
    <row r="444" spans="2:2" x14ac:dyDescent="0.3">
      <c r="B444" s="18"/>
    </row>
    <row r="445" spans="2:2" x14ac:dyDescent="0.3">
      <c r="B445" s="18"/>
    </row>
    <row r="446" spans="2:2" x14ac:dyDescent="0.3">
      <c r="B446" s="18"/>
    </row>
    <row r="447" spans="2:2" x14ac:dyDescent="0.3">
      <c r="B447" s="18"/>
    </row>
    <row r="448" spans="2:2" x14ac:dyDescent="0.3">
      <c r="B448" s="18"/>
    </row>
    <row r="449" spans="2:2" x14ac:dyDescent="0.3">
      <c r="B449" s="18"/>
    </row>
    <row r="450" spans="2:2" x14ac:dyDescent="0.3">
      <c r="B450" s="18"/>
    </row>
    <row r="451" spans="2:2" x14ac:dyDescent="0.3">
      <c r="B451" s="18"/>
    </row>
    <row r="452" spans="2:2" x14ac:dyDescent="0.3">
      <c r="B452" s="18"/>
    </row>
    <row r="453" spans="2:2" x14ac:dyDescent="0.3">
      <c r="B453" s="18"/>
    </row>
    <row r="454" spans="2:2" x14ac:dyDescent="0.3">
      <c r="B454" s="18"/>
    </row>
    <row r="455" spans="2:2" x14ac:dyDescent="0.3">
      <c r="B455" s="18"/>
    </row>
    <row r="456" spans="2:2" x14ac:dyDescent="0.3">
      <c r="B456" s="18"/>
    </row>
    <row r="457" spans="2:2" x14ac:dyDescent="0.3">
      <c r="B457" s="18"/>
    </row>
    <row r="458" spans="2:2" x14ac:dyDescent="0.3">
      <c r="B458" s="18"/>
    </row>
    <row r="459" spans="2:2" x14ac:dyDescent="0.3">
      <c r="B459" s="18"/>
    </row>
    <row r="460" spans="2:2" x14ac:dyDescent="0.3">
      <c r="B460" s="18"/>
    </row>
    <row r="461" spans="2:2" x14ac:dyDescent="0.3">
      <c r="B461" s="18"/>
    </row>
    <row r="462" spans="2:2" x14ac:dyDescent="0.3">
      <c r="B462" s="18"/>
    </row>
    <row r="463" spans="2:2" x14ac:dyDescent="0.3">
      <c r="B463" s="18"/>
    </row>
    <row r="464" spans="2:2" x14ac:dyDescent="0.3">
      <c r="B464" s="18"/>
    </row>
    <row r="465" spans="2:2" x14ac:dyDescent="0.3">
      <c r="B465" s="18"/>
    </row>
    <row r="466" spans="2:2" x14ac:dyDescent="0.3">
      <c r="B466" s="18"/>
    </row>
    <row r="467" spans="2:2" x14ac:dyDescent="0.3">
      <c r="B467" s="18"/>
    </row>
    <row r="468" spans="2:2" x14ac:dyDescent="0.3">
      <c r="B468" s="18"/>
    </row>
    <row r="469" spans="2:2" x14ac:dyDescent="0.3">
      <c r="B469" s="18"/>
    </row>
    <row r="470" spans="2:2" x14ac:dyDescent="0.3">
      <c r="B470" s="18"/>
    </row>
    <row r="471" spans="2:2" x14ac:dyDescent="0.3">
      <c r="B471" s="18"/>
    </row>
    <row r="472" spans="2:2" x14ac:dyDescent="0.3">
      <c r="B472" s="18"/>
    </row>
    <row r="473" spans="2:2" x14ac:dyDescent="0.3">
      <c r="B473" s="18"/>
    </row>
    <row r="474" spans="2:2" x14ac:dyDescent="0.3">
      <c r="B474" s="18"/>
    </row>
    <row r="475" spans="2:2" x14ac:dyDescent="0.3">
      <c r="B475" s="18"/>
    </row>
    <row r="476" spans="2:2" x14ac:dyDescent="0.3">
      <c r="B476" s="18"/>
    </row>
    <row r="477" spans="2:2" x14ac:dyDescent="0.3">
      <c r="B477" s="18"/>
    </row>
    <row r="478" spans="2:2" x14ac:dyDescent="0.3">
      <c r="B478" s="18"/>
    </row>
    <row r="479" spans="2:2" x14ac:dyDescent="0.3">
      <c r="B479" s="18"/>
    </row>
    <row r="480" spans="2:2" x14ac:dyDescent="0.3">
      <c r="B480" s="18"/>
    </row>
    <row r="481" spans="2:2" x14ac:dyDescent="0.3">
      <c r="B481" s="18"/>
    </row>
    <row r="482" spans="2:2" x14ac:dyDescent="0.3">
      <c r="B482" s="18"/>
    </row>
    <row r="483" spans="2:2" x14ac:dyDescent="0.3">
      <c r="B483" s="18"/>
    </row>
    <row r="484" spans="2:2" x14ac:dyDescent="0.3">
      <c r="B484" s="18"/>
    </row>
    <row r="485" spans="2:2" x14ac:dyDescent="0.3">
      <c r="B485" s="18"/>
    </row>
    <row r="486" spans="2:2" x14ac:dyDescent="0.3">
      <c r="B486" s="18"/>
    </row>
    <row r="487" spans="2:2" x14ac:dyDescent="0.3">
      <c r="B487" s="18"/>
    </row>
    <row r="488" spans="2:2" x14ac:dyDescent="0.3">
      <c r="B488" s="18"/>
    </row>
    <row r="489" spans="2:2" x14ac:dyDescent="0.3">
      <c r="B489" s="18"/>
    </row>
    <row r="490" spans="2:2" x14ac:dyDescent="0.3">
      <c r="B490" s="18"/>
    </row>
    <row r="491" spans="2:2" x14ac:dyDescent="0.3">
      <c r="B491" s="18"/>
    </row>
    <row r="492" spans="2:2" x14ac:dyDescent="0.3">
      <c r="B492" s="18"/>
    </row>
    <row r="493" spans="2:2" x14ac:dyDescent="0.3">
      <c r="B493" s="18"/>
    </row>
    <row r="494" spans="2:2" x14ac:dyDescent="0.3">
      <c r="B494" s="18"/>
    </row>
    <row r="495" spans="2:2" x14ac:dyDescent="0.3">
      <c r="B495" s="18"/>
    </row>
    <row r="496" spans="2:2" x14ac:dyDescent="0.3">
      <c r="B496" s="18"/>
    </row>
    <row r="497" spans="2:2" x14ac:dyDescent="0.3">
      <c r="B497" s="18"/>
    </row>
    <row r="498" spans="2:2" x14ac:dyDescent="0.3">
      <c r="B498" s="18"/>
    </row>
    <row r="499" spans="2:2" x14ac:dyDescent="0.3">
      <c r="B499" s="18"/>
    </row>
    <row r="500" spans="2:2" x14ac:dyDescent="0.3">
      <c r="B500" s="18"/>
    </row>
    <row r="501" spans="2:2" x14ac:dyDescent="0.3">
      <c r="B501" s="18"/>
    </row>
    <row r="502" spans="2:2" x14ac:dyDescent="0.3">
      <c r="B502" s="18"/>
    </row>
    <row r="503" spans="2:2" x14ac:dyDescent="0.3">
      <c r="B503" s="18"/>
    </row>
    <row r="504" spans="2:2" x14ac:dyDescent="0.3">
      <c r="B504" s="18"/>
    </row>
    <row r="505" spans="2:2" x14ac:dyDescent="0.3">
      <c r="B505" s="18"/>
    </row>
    <row r="506" spans="2:2" x14ac:dyDescent="0.3">
      <c r="B506" s="18"/>
    </row>
    <row r="507" spans="2:2" x14ac:dyDescent="0.3">
      <c r="B507" s="18"/>
    </row>
    <row r="508" spans="2:2" x14ac:dyDescent="0.3">
      <c r="B508" s="18"/>
    </row>
    <row r="509" spans="2:2" x14ac:dyDescent="0.3">
      <c r="B509" s="18"/>
    </row>
    <row r="510" spans="2:2" x14ac:dyDescent="0.3">
      <c r="B510" s="18"/>
    </row>
    <row r="511" spans="2:2" x14ac:dyDescent="0.3">
      <c r="B511" s="18"/>
    </row>
    <row r="512" spans="2:2" x14ac:dyDescent="0.3">
      <c r="B512" s="18"/>
    </row>
    <row r="513" spans="2:2" x14ac:dyDescent="0.3">
      <c r="B513" s="18"/>
    </row>
    <row r="514" spans="2:2" x14ac:dyDescent="0.3">
      <c r="B514" s="18"/>
    </row>
    <row r="515" spans="2:2" x14ac:dyDescent="0.3">
      <c r="B515" s="18"/>
    </row>
    <row r="516" spans="2:2" x14ac:dyDescent="0.3">
      <c r="B516" s="18"/>
    </row>
    <row r="517" spans="2:2" x14ac:dyDescent="0.3">
      <c r="B517" s="18"/>
    </row>
    <row r="518" spans="2:2" x14ac:dyDescent="0.3">
      <c r="B518" s="18"/>
    </row>
    <row r="519" spans="2:2" x14ac:dyDescent="0.3">
      <c r="B519" s="18"/>
    </row>
    <row r="520" spans="2:2" x14ac:dyDescent="0.3">
      <c r="B520" s="18"/>
    </row>
    <row r="521" spans="2:2" x14ac:dyDescent="0.3">
      <c r="B521" s="18"/>
    </row>
    <row r="522" spans="2:2" x14ac:dyDescent="0.3">
      <c r="B522" s="18"/>
    </row>
    <row r="523" spans="2:2" x14ac:dyDescent="0.3">
      <c r="B523" s="18"/>
    </row>
    <row r="524" spans="2:2" x14ac:dyDescent="0.3">
      <c r="B524" s="18"/>
    </row>
    <row r="525" spans="2:2" x14ac:dyDescent="0.3">
      <c r="B525" s="18"/>
    </row>
    <row r="526" spans="2:2" x14ac:dyDescent="0.3">
      <c r="B526" s="18"/>
    </row>
    <row r="527" spans="2:2" x14ac:dyDescent="0.3">
      <c r="B527" s="18"/>
    </row>
    <row r="528" spans="2:2" x14ac:dyDescent="0.3">
      <c r="B528" s="18"/>
    </row>
    <row r="529" spans="2:2" x14ac:dyDescent="0.3">
      <c r="B529" s="18"/>
    </row>
    <row r="530" spans="2:2" x14ac:dyDescent="0.3">
      <c r="B530" s="18"/>
    </row>
    <row r="531" spans="2:2" x14ac:dyDescent="0.3">
      <c r="B531" s="18"/>
    </row>
    <row r="532" spans="2:2" x14ac:dyDescent="0.3">
      <c r="B532" s="18"/>
    </row>
    <row r="533" spans="2:2" x14ac:dyDescent="0.3">
      <c r="B533" s="18"/>
    </row>
    <row r="534" spans="2:2" x14ac:dyDescent="0.3">
      <c r="B534" s="18"/>
    </row>
    <row r="535" spans="2:2" x14ac:dyDescent="0.3">
      <c r="B535" s="18"/>
    </row>
    <row r="536" spans="2:2" x14ac:dyDescent="0.3">
      <c r="B536" s="18"/>
    </row>
    <row r="537" spans="2:2" x14ac:dyDescent="0.3">
      <c r="B537" s="18"/>
    </row>
    <row r="538" spans="2:2" x14ac:dyDescent="0.3">
      <c r="B538" s="18"/>
    </row>
    <row r="539" spans="2:2" x14ac:dyDescent="0.3">
      <c r="B539" s="18"/>
    </row>
    <row r="540" spans="2:2" x14ac:dyDescent="0.3">
      <c r="B540" s="18"/>
    </row>
    <row r="541" spans="2:2" x14ac:dyDescent="0.3">
      <c r="B541" s="18"/>
    </row>
    <row r="542" spans="2:2" x14ac:dyDescent="0.3">
      <c r="B542" s="18"/>
    </row>
    <row r="543" spans="2:2" x14ac:dyDescent="0.3">
      <c r="B543" s="18"/>
    </row>
    <row r="544" spans="2:2" x14ac:dyDescent="0.3">
      <c r="B544" s="18"/>
    </row>
    <row r="545" spans="2:2" x14ac:dyDescent="0.3">
      <c r="B545" s="18"/>
    </row>
    <row r="546" spans="2:2" x14ac:dyDescent="0.3">
      <c r="B546" s="18"/>
    </row>
    <row r="547" spans="2:2" x14ac:dyDescent="0.3">
      <c r="B547" s="18"/>
    </row>
    <row r="548" spans="2:2" x14ac:dyDescent="0.3">
      <c r="B548" s="18"/>
    </row>
    <row r="549" spans="2:2" x14ac:dyDescent="0.3">
      <c r="B549" s="18"/>
    </row>
    <row r="550" spans="2:2" x14ac:dyDescent="0.3">
      <c r="B550" s="18"/>
    </row>
    <row r="551" spans="2:2" x14ac:dyDescent="0.3">
      <c r="B551" s="18"/>
    </row>
    <row r="552" spans="2:2" x14ac:dyDescent="0.3">
      <c r="B552" s="18"/>
    </row>
    <row r="553" spans="2:2" x14ac:dyDescent="0.3">
      <c r="B553" s="18"/>
    </row>
    <row r="554" spans="2:2" x14ac:dyDescent="0.3">
      <c r="B554" s="18"/>
    </row>
    <row r="555" spans="2:2" x14ac:dyDescent="0.3">
      <c r="B555" s="18"/>
    </row>
    <row r="556" spans="2:2" x14ac:dyDescent="0.3">
      <c r="B556" s="18"/>
    </row>
    <row r="557" spans="2:2" x14ac:dyDescent="0.3">
      <c r="B557" s="18"/>
    </row>
    <row r="558" spans="2:2" x14ac:dyDescent="0.3">
      <c r="B558" s="18"/>
    </row>
    <row r="559" spans="2:2" x14ac:dyDescent="0.3">
      <c r="B559" s="18"/>
    </row>
    <row r="560" spans="2:2" x14ac:dyDescent="0.3">
      <c r="B560" s="18"/>
    </row>
    <row r="561" spans="2:2" x14ac:dyDescent="0.3">
      <c r="B561" s="18"/>
    </row>
    <row r="562" spans="2:2" x14ac:dyDescent="0.3">
      <c r="B562" s="18"/>
    </row>
    <row r="563" spans="2:2" x14ac:dyDescent="0.3">
      <c r="B563" s="18"/>
    </row>
    <row r="564" spans="2:2" x14ac:dyDescent="0.3">
      <c r="B564" s="18"/>
    </row>
    <row r="565" spans="2:2" x14ac:dyDescent="0.3">
      <c r="B565" s="18"/>
    </row>
    <row r="566" spans="2:2" x14ac:dyDescent="0.3">
      <c r="B566" s="18"/>
    </row>
    <row r="567" spans="2:2" x14ac:dyDescent="0.3">
      <c r="B567" s="18"/>
    </row>
    <row r="568" spans="2:2" x14ac:dyDescent="0.3">
      <c r="B568" s="18"/>
    </row>
    <row r="569" spans="2:2" x14ac:dyDescent="0.3">
      <c r="B569" s="18"/>
    </row>
    <row r="570" spans="2:2" x14ac:dyDescent="0.3">
      <c r="B570" s="18"/>
    </row>
    <row r="571" spans="2:2" x14ac:dyDescent="0.3">
      <c r="B571" s="18"/>
    </row>
    <row r="572" spans="2:2" x14ac:dyDescent="0.3">
      <c r="B572" s="18"/>
    </row>
    <row r="573" spans="2:2" x14ac:dyDescent="0.3">
      <c r="B573" s="18"/>
    </row>
    <row r="574" spans="2:2" x14ac:dyDescent="0.3">
      <c r="B574" s="18"/>
    </row>
    <row r="575" spans="2:2" x14ac:dyDescent="0.3">
      <c r="B575" s="18"/>
    </row>
    <row r="576" spans="2:2" x14ac:dyDescent="0.3">
      <c r="B576" s="18"/>
    </row>
    <row r="577" spans="2:2" x14ac:dyDescent="0.3">
      <c r="B577" s="18"/>
    </row>
    <row r="578" spans="2:2" x14ac:dyDescent="0.3">
      <c r="B578" s="18"/>
    </row>
    <row r="579" spans="2:2" x14ac:dyDescent="0.3">
      <c r="B579" s="18"/>
    </row>
    <row r="580" spans="2:2" x14ac:dyDescent="0.3">
      <c r="B580" s="18"/>
    </row>
    <row r="581" spans="2:2" x14ac:dyDescent="0.3">
      <c r="B581" s="18"/>
    </row>
    <row r="582" spans="2:2" x14ac:dyDescent="0.3">
      <c r="B582" s="18"/>
    </row>
    <row r="583" spans="2:2" x14ac:dyDescent="0.3">
      <c r="B583" s="18"/>
    </row>
    <row r="584" spans="2:2" x14ac:dyDescent="0.3">
      <c r="B584" s="18"/>
    </row>
    <row r="585" spans="2:2" x14ac:dyDescent="0.3">
      <c r="B585" s="18"/>
    </row>
    <row r="586" spans="2:2" x14ac:dyDescent="0.3">
      <c r="B586" s="18"/>
    </row>
    <row r="587" spans="2:2" x14ac:dyDescent="0.3">
      <c r="B587" s="18"/>
    </row>
    <row r="588" spans="2:2" x14ac:dyDescent="0.3">
      <c r="B588" s="18"/>
    </row>
    <row r="589" spans="2:2" x14ac:dyDescent="0.3">
      <c r="B589" s="18"/>
    </row>
    <row r="590" spans="2:2" x14ac:dyDescent="0.3">
      <c r="B590" s="18"/>
    </row>
    <row r="591" spans="2:2" x14ac:dyDescent="0.3">
      <c r="B591" s="18"/>
    </row>
    <row r="592" spans="2:2" x14ac:dyDescent="0.3">
      <c r="B592" s="18"/>
    </row>
    <row r="593" spans="2:2" x14ac:dyDescent="0.3">
      <c r="B593" s="18"/>
    </row>
    <row r="594" spans="2:2" x14ac:dyDescent="0.3">
      <c r="B594" s="18"/>
    </row>
    <row r="595" spans="2:2" x14ac:dyDescent="0.3">
      <c r="B595" s="18"/>
    </row>
    <row r="596" spans="2:2" x14ac:dyDescent="0.3">
      <c r="B596" s="18"/>
    </row>
    <row r="597" spans="2:2" x14ac:dyDescent="0.3">
      <c r="B597" s="18"/>
    </row>
    <row r="598" spans="2:2" x14ac:dyDescent="0.3">
      <c r="B598" s="18"/>
    </row>
    <row r="599" spans="2:2" x14ac:dyDescent="0.3">
      <c r="B599" s="18"/>
    </row>
    <row r="600" spans="2:2" x14ac:dyDescent="0.3">
      <c r="B600" s="18"/>
    </row>
    <row r="601" spans="2:2" x14ac:dyDescent="0.3">
      <c r="B601" s="18"/>
    </row>
    <row r="602" spans="2:2" x14ac:dyDescent="0.3">
      <c r="B602" s="18"/>
    </row>
    <row r="603" spans="2:2" x14ac:dyDescent="0.3">
      <c r="B603" s="18"/>
    </row>
    <row r="604" spans="2:2" x14ac:dyDescent="0.3">
      <c r="B604" s="18"/>
    </row>
    <row r="605" spans="2:2" x14ac:dyDescent="0.3">
      <c r="B605" s="18"/>
    </row>
    <row r="606" spans="2:2" x14ac:dyDescent="0.3">
      <c r="B606" s="18"/>
    </row>
    <row r="607" spans="2:2" x14ac:dyDescent="0.3">
      <c r="B607" s="18"/>
    </row>
    <row r="608" spans="2:2" x14ac:dyDescent="0.3">
      <c r="B608" s="18"/>
    </row>
    <row r="609" spans="2:2" x14ac:dyDescent="0.3">
      <c r="B609" s="18"/>
    </row>
    <row r="610" spans="2:2" x14ac:dyDescent="0.3">
      <c r="B610" s="18"/>
    </row>
    <row r="611" spans="2:2" x14ac:dyDescent="0.3">
      <c r="B611" s="18"/>
    </row>
    <row r="612" spans="2:2" x14ac:dyDescent="0.3">
      <c r="B612" s="18"/>
    </row>
    <row r="613" spans="2:2" x14ac:dyDescent="0.3">
      <c r="B613" s="18"/>
    </row>
    <row r="614" spans="2:2" x14ac:dyDescent="0.3">
      <c r="B614" s="18"/>
    </row>
    <row r="615" spans="2:2" x14ac:dyDescent="0.3">
      <c r="B615" s="18"/>
    </row>
    <row r="616" spans="2:2" x14ac:dyDescent="0.3">
      <c r="B616" s="18"/>
    </row>
    <row r="617" spans="2:2" x14ac:dyDescent="0.3">
      <c r="B617" s="18"/>
    </row>
    <row r="618" spans="2:2" x14ac:dyDescent="0.3">
      <c r="B618" s="18"/>
    </row>
    <row r="619" spans="2:2" x14ac:dyDescent="0.3">
      <c r="B619" s="18"/>
    </row>
    <row r="620" spans="2:2" x14ac:dyDescent="0.3">
      <c r="B620" s="18"/>
    </row>
    <row r="621" spans="2:2" x14ac:dyDescent="0.3">
      <c r="B621" s="18"/>
    </row>
    <row r="622" spans="2:2" x14ac:dyDescent="0.3">
      <c r="B622" s="18"/>
    </row>
    <row r="623" spans="2:2" x14ac:dyDescent="0.3">
      <c r="B623" s="18"/>
    </row>
    <row r="624" spans="2:2" x14ac:dyDescent="0.3">
      <c r="B624" s="18"/>
    </row>
    <row r="625" spans="2:2" x14ac:dyDescent="0.3">
      <c r="B625" s="18"/>
    </row>
    <row r="626" spans="2:2" x14ac:dyDescent="0.3">
      <c r="B626" s="18"/>
    </row>
    <row r="627" spans="2:2" x14ac:dyDescent="0.3">
      <c r="B627" s="18"/>
    </row>
    <row r="628" spans="2:2" x14ac:dyDescent="0.3">
      <c r="B628" s="18"/>
    </row>
    <row r="629" spans="2:2" x14ac:dyDescent="0.3">
      <c r="B629" s="18"/>
    </row>
    <row r="630" spans="2:2" x14ac:dyDescent="0.3">
      <c r="B630" s="18"/>
    </row>
    <row r="631" spans="2:2" x14ac:dyDescent="0.3">
      <c r="B631" s="18"/>
    </row>
    <row r="632" spans="2:2" x14ac:dyDescent="0.3">
      <c r="B632" s="18"/>
    </row>
    <row r="633" spans="2:2" x14ac:dyDescent="0.3">
      <c r="B633" s="18"/>
    </row>
    <row r="634" spans="2:2" x14ac:dyDescent="0.3">
      <c r="B634" s="18"/>
    </row>
    <row r="635" spans="2:2" x14ac:dyDescent="0.3">
      <c r="B635" s="18"/>
    </row>
    <row r="636" spans="2:2" x14ac:dyDescent="0.3">
      <c r="B636" s="18"/>
    </row>
    <row r="637" spans="2:2" x14ac:dyDescent="0.3">
      <c r="B637" s="18"/>
    </row>
    <row r="638" spans="2:2" x14ac:dyDescent="0.3">
      <c r="B638" s="18"/>
    </row>
    <row r="639" spans="2:2" x14ac:dyDescent="0.3">
      <c r="B639" s="18"/>
    </row>
    <row r="640" spans="2:2" x14ac:dyDescent="0.3">
      <c r="B640" s="18"/>
    </row>
    <row r="641" spans="2:2" x14ac:dyDescent="0.3">
      <c r="B641" s="18"/>
    </row>
    <row r="642" spans="2:2" x14ac:dyDescent="0.3">
      <c r="B642" s="18"/>
    </row>
    <row r="643" spans="2:2" x14ac:dyDescent="0.3">
      <c r="B643" s="18"/>
    </row>
    <row r="644" spans="2:2" x14ac:dyDescent="0.3">
      <c r="B644" s="18"/>
    </row>
    <row r="645" spans="2:2" x14ac:dyDescent="0.3">
      <c r="B645" s="18"/>
    </row>
    <row r="646" spans="2:2" x14ac:dyDescent="0.3">
      <c r="B646" s="18"/>
    </row>
    <row r="647" spans="2:2" x14ac:dyDescent="0.3">
      <c r="B647" s="18"/>
    </row>
    <row r="648" spans="2:2" x14ac:dyDescent="0.3">
      <c r="B648" s="18"/>
    </row>
    <row r="649" spans="2:2" x14ac:dyDescent="0.3">
      <c r="B649" s="18"/>
    </row>
    <row r="650" spans="2:2" x14ac:dyDescent="0.3">
      <c r="B650" s="18"/>
    </row>
    <row r="651" spans="2:2" x14ac:dyDescent="0.3">
      <c r="B651" s="18"/>
    </row>
    <row r="652" spans="2:2" x14ac:dyDescent="0.3">
      <c r="B652" s="18"/>
    </row>
    <row r="653" spans="2:2" x14ac:dyDescent="0.3">
      <c r="B653" s="18"/>
    </row>
    <row r="654" spans="2:2" x14ac:dyDescent="0.3">
      <c r="B654" s="18"/>
    </row>
    <row r="655" spans="2:2" x14ac:dyDescent="0.3">
      <c r="B655" s="18"/>
    </row>
    <row r="656" spans="2:2" x14ac:dyDescent="0.3">
      <c r="B656" s="18"/>
    </row>
    <row r="657" spans="2:2" x14ac:dyDescent="0.3">
      <c r="B657" s="18"/>
    </row>
    <row r="658" spans="2:2" x14ac:dyDescent="0.3">
      <c r="B658" s="18"/>
    </row>
    <row r="659" spans="2:2" x14ac:dyDescent="0.3">
      <c r="B659" s="18"/>
    </row>
    <row r="660" spans="2:2" x14ac:dyDescent="0.3">
      <c r="B660" s="18"/>
    </row>
    <row r="661" spans="2:2" x14ac:dyDescent="0.3">
      <c r="B661" s="18"/>
    </row>
    <row r="662" spans="2:2" x14ac:dyDescent="0.3">
      <c r="B662" s="18"/>
    </row>
    <row r="663" spans="2:2" x14ac:dyDescent="0.3">
      <c r="B663" s="18"/>
    </row>
    <row r="664" spans="2:2" x14ac:dyDescent="0.3">
      <c r="B664" s="18"/>
    </row>
    <row r="665" spans="2:2" x14ac:dyDescent="0.3">
      <c r="B665" s="18"/>
    </row>
    <row r="666" spans="2:2" x14ac:dyDescent="0.3">
      <c r="B666" s="18"/>
    </row>
    <row r="667" spans="2:2" x14ac:dyDescent="0.3">
      <c r="B667" s="18"/>
    </row>
    <row r="668" spans="2:2" x14ac:dyDescent="0.3">
      <c r="B668" s="18"/>
    </row>
    <row r="669" spans="2:2" x14ac:dyDescent="0.3">
      <c r="B669" s="18"/>
    </row>
    <row r="670" spans="2:2" x14ac:dyDescent="0.3">
      <c r="B670" s="18"/>
    </row>
    <row r="671" spans="2:2" x14ac:dyDescent="0.3">
      <c r="B671" s="18"/>
    </row>
    <row r="672" spans="2:2" x14ac:dyDescent="0.3">
      <c r="B672" s="18"/>
    </row>
    <row r="673" spans="2:2" x14ac:dyDescent="0.3">
      <c r="B673" s="18"/>
    </row>
    <row r="674" spans="2:2" x14ac:dyDescent="0.3">
      <c r="B674" s="18"/>
    </row>
    <row r="675" spans="2:2" x14ac:dyDescent="0.3">
      <c r="B675" s="18"/>
    </row>
    <row r="676" spans="2:2" x14ac:dyDescent="0.3">
      <c r="B676" s="18"/>
    </row>
    <row r="677" spans="2:2" x14ac:dyDescent="0.3">
      <c r="B677" s="18"/>
    </row>
    <row r="678" spans="2:2" x14ac:dyDescent="0.3">
      <c r="B678" s="18"/>
    </row>
    <row r="679" spans="2:2" x14ac:dyDescent="0.3">
      <c r="B679" s="18"/>
    </row>
    <row r="680" spans="2:2" x14ac:dyDescent="0.3">
      <c r="B680" s="18"/>
    </row>
    <row r="681" spans="2:2" x14ac:dyDescent="0.3">
      <c r="B681" s="18"/>
    </row>
    <row r="682" spans="2:2" x14ac:dyDescent="0.3">
      <c r="B682" s="18"/>
    </row>
    <row r="683" spans="2:2" x14ac:dyDescent="0.3">
      <c r="B683" s="18"/>
    </row>
    <row r="684" spans="2:2" x14ac:dyDescent="0.3">
      <c r="B684" s="18"/>
    </row>
    <row r="685" spans="2:2" x14ac:dyDescent="0.3">
      <c r="B685" s="18"/>
    </row>
    <row r="686" spans="2:2" x14ac:dyDescent="0.3">
      <c r="B686" s="18"/>
    </row>
    <row r="687" spans="2:2" x14ac:dyDescent="0.3">
      <c r="B687" s="18"/>
    </row>
    <row r="688" spans="2:2" x14ac:dyDescent="0.3">
      <c r="B688" s="18"/>
    </row>
    <row r="689" spans="2:2" x14ac:dyDescent="0.3">
      <c r="B689" s="18"/>
    </row>
    <row r="690" spans="2:2" x14ac:dyDescent="0.3">
      <c r="B690" s="18"/>
    </row>
    <row r="691" spans="2:2" x14ac:dyDescent="0.3">
      <c r="B691" s="18"/>
    </row>
    <row r="692" spans="2:2" x14ac:dyDescent="0.3">
      <c r="B692" s="18"/>
    </row>
    <row r="693" spans="2:2" x14ac:dyDescent="0.3">
      <c r="B693" s="18"/>
    </row>
    <row r="694" spans="2:2" x14ac:dyDescent="0.3">
      <c r="B694" s="18"/>
    </row>
    <row r="695" spans="2:2" x14ac:dyDescent="0.3">
      <c r="B695" s="18"/>
    </row>
    <row r="696" spans="2:2" x14ac:dyDescent="0.3">
      <c r="B696" s="18"/>
    </row>
    <row r="697" spans="2:2" x14ac:dyDescent="0.3">
      <c r="B697" s="18"/>
    </row>
    <row r="698" spans="2:2" x14ac:dyDescent="0.3">
      <c r="B698" s="18"/>
    </row>
    <row r="699" spans="2:2" x14ac:dyDescent="0.3">
      <c r="B699" s="18"/>
    </row>
    <row r="700" spans="2:2" x14ac:dyDescent="0.3">
      <c r="B700" s="18"/>
    </row>
    <row r="701" spans="2:2" x14ac:dyDescent="0.3">
      <c r="B701" s="18"/>
    </row>
    <row r="702" spans="2:2" x14ac:dyDescent="0.3">
      <c r="B702" s="18"/>
    </row>
    <row r="703" spans="2:2" x14ac:dyDescent="0.3">
      <c r="B703" s="18"/>
    </row>
    <row r="704" spans="2:2" x14ac:dyDescent="0.3">
      <c r="B704" s="18"/>
    </row>
    <row r="705" spans="2:2" x14ac:dyDescent="0.3">
      <c r="B705" s="18"/>
    </row>
    <row r="706" spans="2:2" x14ac:dyDescent="0.3">
      <c r="B706" s="18"/>
    </row>
    <row r="707" spans="2:2" x14ac:dyDescent="0.3">
      <c r="B707" s="18"/>
    </row>
    <row r="708" spans="2:2" x14ac:dyDescent="0.3">
      <c r="B708" s="18"/>
    </row>
    <row r="709" spans="2:2" x14ac:dyDescent="0.3">
      <c r="B709" s="18"/>
    </row>
    <row r="710" spans="2:2" x14ac:dyDescent="0.3">
      <c r="B710" s="18"/>
    </row>
    <row r="711" spans="2:2" x14ac:dyDescent="0.3">
      <c r="B711" s="18"/>
    </row>
    <row r="712" spans="2:2" x14ac:dyDescent="0.3">
      <c r="B712" s="18"/>
    </row>
    <row r="713" spans="2:2" x14ac:dyDescent="0.3">
      <c r="B713" s="18"/>
    </row>
    <row r="714" spans="2:2" x14ac:dyDescent="0.3">
      <c r="B714" s="18"/>
    </row>
    <row r="715" spans="2:2" x14ac:dyDescent="0.3">
      <c r="B715" s="18"/>
    </row>
    <row r="716" spans="2:2" x14ac:dyDescent="0.3">
      <c r="B716" s="18"/>
    </row>
    <row r="717" spans="2:2" x14ac:dyDescent="0.3">
      <c r="B717" s="18"/>
    </row>
    <row r="718" spans="2:2" x14ac:dyDescent="0.3">
      <c r="B718" s="18"/>
    </row>
    <row r="719" spans="2:2" x14ac:dyDescent="0.3">
      <c r="B719" s="18"/>
    </row>
    <row r="720" spans="2:2" x14ac:dyDescent="0.3">
      <c r="B720" s="18"/>
    </row>
    <row r="721" spans="2:2" x14ac:dyDescent="0.3">
      <c r="B721" s="18"/>
    </row>
    <row r="722" spans="2:2" x14ac:dyDescent="0.3">
      <c r="B722" s="18"/>
    </row>
    <row r="723" spans="2:2" x14ac:dyDescent="0.3">
      <c r="B723" s="18"/>
    </row>
    <row r="724" spans="2:2" x14ac:dyDescent="0.3">
      <c r="B724" s="18"/>
    </row>
    <row r="725" spans="2:2" x14ac:dyDescent="0.3">
      <c r="B725" s="18"/>
    </row>
    <row r="726" spans="2:2" x14ac:dyDescent="0.3">
      <c r="B726" s="18"/>
    </row>
    <row r="727" spans="2:2" x14ac:dyDescent="0.3">
      <c r="B727" s="18"/>
    </row>
    <row r="728" spans="2:2" x14ac:dyDescent="0.3">
      <c r="B728" s="18"/>
    </row>
    <row r="729" spans="2:2" x14ac:dyDescent="0.3">
      <c r="B729" s="18"/>
    </row>
    <row r="730" spans="2:2" x14ac:dyDescent="0.3">
      <c r="B730" s="18"/>
    </row>
    <row r="731" spans="2:2" x14ac:dyDescent="0.3">
      <c r="B731" s="18"/>
    </row>
    <row r="732" spans="2:2" x14ac:dyDescent="0.3">
      <c r="B732" s="18"/>
    </row>
    <row r="733" spans="2:2" x14ac:dyDescent="0.3">
      <c r="B733" s="18"/>
    </row>
    <row r="734" spans="2:2" x14ac:dyDescent="0.3">
      <c r="B734" s="18"/>
    </row>
    <row r="735" spans="2:2" x14ac:dyDescent="0.3">
      <c r="B735" s="18"/>
    </row>
    <row r="736" spans="2:2" x14ac:dyDescent="0.3">
      <c r="B736" s="18"/>
    </row>
    <row r="737" spans="2:2" x14ac:dyDescent="0.3">
      <c r="B737" s="18"/>
    </row>
    <row r="738" spans="2:2" x14ac:dyDescent="0.3">
      <c r="B738" s="18"/>
    </row>
    <row r="739" spans="2:2" x14ac:dyDescent="0.3">
      <c r="B739" s="18"/>
    </row>
    <row r="740" spans="2:2" x14ac:dyDescent="0.3">
      <c r="B740" s="18"/>
    </row>
    <row r="741" spans="2:2" x14ac:dyDescent="0.3">
      <c r="B741" s="18"/>
    </row>
    <row r="742" spans="2:2" x14ac:dyDescent="0.3">
      <c r="B742" s="18"/>
    </row>
    <row r="743" spans="2:2" x14ac:dyDescent="0.3">
      <c r="B743" s="18"/>
    </row>
    <row r="744" spans="2:2" x14ac:dyDescent="0.3">
      <c r="B744" s="18"/>
    </row>
    <row r="745" spans="2:2" x14ac:dyDescent="0.3">
      <c r="B745" s="18"/>
    </row>
    <row r="746" spans="2:2" x14ac:dyDescent="0.3">
      <c r="B746" s="18"/>
    </row>
    <row r="747" spans="2:2" x14ac:dyDescent="0.3">
      <c r="B747" s="18"/>
    </row>
    <row r="748" spans="2:2" x14ac:dyDescent="0.3">
      <c r="B748" s="18"/>
    </row>
    <row r="749" spans="2:2" x14ac:dyDescent="0.3">
      <c r="B749" s="18"/>
    </row>
    <row r="750" spans="2:2" x14ac:dyDescent="0.3">
      <c r="B750" s="18"/>
    </row>
    <row r="751" spans="2:2" x14ac:dyDescent="0.3">
      <c r="B751" s="18"/>
    </row>
    <row r="752" spans="2:2" x14ac:dyDescent="0.3">
      <c r="B752" s="18"/>
    </row>
    <row r="753" spans="2:2" x14ac:dyDescent="0.3">
      <c r="B753" s="18"/>
    </row>
    <row r="754" spans="2:2" x14ac:dyDescent="0.3">
      <c r="B754" s="18"/>
    </row>
    <row r="755" spans="2:2" x14ac:dyDescent="0.3">
      <c r="B755" s="18"/>
    </row>
    <row r="756" spans="2:2" x14ac:dyDescent="0.3">
      <c r="B756" s="18"/>
    </row>
    <row r="757" spans="2:2" x14ac:dyDescent="0.3">
      <c r="B757" s="18"/>
    </row>
    <row r="758" spans="2:2" x14ac:dyDescent="0.3">
      <c r="B758" s="18"/>
    </row>
    <row r="759" spans="2:2" x14ac:dyDescent="0.3">
      <c r="B759" s="18"/>
    </row>
    <row r="760" spans="2:2" x14ac:dyDescent="0.3">
      <c r="B760" s="18"/>
    </row>
    <row r="761" spans="2:2" x14ac:dyDescent="0.3">
      <c r="B761" s="18"/>
    </row>
    <row r="762" spans="2:2" x14ac:dyDescent="0.3">
      <c r="B762" s="18"/>
    </row>
    <row r="763" spans="2:2" x14ac:dyDescent="0.3">
      <c r="B763" s="18"/>
    </row>
    <row r="764" spans="2:2" x14ac:dyDescent="0.3">
      <c r="B764" s="18"/>
    </row>
    <row r="765" spans="2:2" x14ac:dyDescent="0.3">
      <c r="B765" s="18"/>
    </row>
    <row r="766" spans="2:2" x14ac:dyDescent="0.3">
      <c r="B766" s="18"/>
    </row>
    <row r="767" spans="2:2" x14ac:dyDescent="0.3">
      <c r="B767" s="18"/>
    </row>
    <row r="768" spans="2:2" x14ac:dyDescent="0.3">
      <c r="B768" s="18"/>
    </row>
    <row r="769" spans="2:2" x14ac:dyDescent="0.3">
      <c r="B769" s="18"/>
    </row>
    <row r="770" spans="2:2" x14ac:dyDescent="0.3">
      <c r="B770" s="18"/>
    </row>
    <row r="771" spans="2:2" x14ac:dyDescent="0.3">
      <c r="B771" s="18"/>
    </row>
    <row r="772" spans="2:2" x14ac:dyDescent="0.3">
      <c r="B772" s="18"/>
    </row>
    <row r="773" spans="2:2" x14ac:dyDescent="0.3">
      <c r="B773" s="18"/>
    </row>
    <row r="774" spans="2:2" x14ac:dyDescent="0.3">
      <c r="B774" s="18"/>
    </row>
    <row r="775" spans="2:2" x14ac:dyDescent="0.3">
      <c r="B775" s="18"/>
    </row>
    <row r="776" spans="2:2" x14ac:dyDescent="0.3">
      <c r="B776" s="18"/>
    </row>
    <row r="777" spans="2:2" x14ac:dyDescent="0.3">
      <c r="B777" s="18"/>
    </row>
    <row r="778" spans="2:2" x14ac:dyDescent="0.3">
      <c r="B778" s="18"/>
    </row>
    <row r="779" spans="2:2" x14ac:dyDescent="0.3">
      <c r="B779" s="18"/>
    </row>
    <row r="780" spans="2:2" x14ac:dyDescent="0.3">
      <c r="B780" s="18"/>
    </row>
    <row r="781" spans="2:2" x14ac:dyDescent="0.3">
      <c r="B781" s="18"/>
    </row>
    <row r="782" spans="2:2" x14ac:dyDescent="0.3">
      <c r="B782" s="18"/>
    </row>
    <row r="783" spans="2:2" x14ac:dyDescent="0.3">
      <c r="B783" s="18"/>
    </row>
    <row r="784" spans="2:2" x14ac:dyDescent="0.3">
      <c r="B784" s="18"/>
    </row>
    <row r="785" spans="2:2" x14ac:dyDescent="0.3">
      <c r="B785" s="18"/>
    </row>
    <row r="786" spans="2:2" x14ac:dyDescent="0.3">
      <c r="B786" s="18"/>
    </row>
    <row r="787" spans="2:2" x14ac:dyDescent="0.3">
      <c r="B787" s="18"/>
    </row>
    <row r="788" spans="2:2" x14ac:dyDescent="0.3">
      <c r="B788" s="18"/>
    </row>
    <row r="789" spans="2:2" x14ac:dyDescent="0.3">
      <c r="B789" s="18"/>
    </row>
    <row r="790" spans="2:2" x14ac:dyDescent="0.3">
      <c r="B790" s="18"/>
    </row>
    <row r="791" spans="2:2" x14ac:dyDescent="0.3">
      <c r="B791" s="18"/>
    </row>
    <row r="792" spans="2:2" x14ac:dyDescent="0.3">
      <c r="B792" s="18"/>
    </row>
    <row r="793" spans="2:2" x14ac:dyDescent="0.3">
      <c r="B793" s="18"/>
    </row>
    <row r="794" spans="2:2" x14ac:dyDescent="0.3">
      <c r="B794" s="18"/>
    </row>
    <row r="795" spans="2:2" x14ac:dyDescent="0.3">
      <c r="B795" s="18"/>
    </row>
    <row r="796" spans="2:2" x14ac:dyDescent="0.3">
      <c r="B796" s="18"/>
    </row>
    <row r="797" spans="2:2" x14ac:dyDescent="0.3">
      <c r="B797" s="18"/>
    </row>
    <row r="798" spans="2:2" x14ac:dyDescent="0.3">
      <c r="B798" s="18"/>
    </row>
    <row r="799" spans="2:2" x14ac:dyDescent="0.3">
      <c r="B799" s="18"/>
    </row>
    <row r="800" spans="2:2" x14ac:dyDescent="0.3">
      <c r="B800" s="18"/>
    </row>
    <row r="801" spans="2:2" x14ac:dyDescent="0.3">
      <c r="B801" s="18"/>
    </row>
    <row r="802" spans="2:2" x14ac:dyDescent="0.3">
      <c r="B802" s="18"/>
    </row>
    <row r="803" spans="2:2" x14ac:dyDescent="0.3">
      <c r="B803" s="18"/>
    </row>
    <row r="804" spans="2:2" x14ac:dyDescent="0.3">
      <c r="B804" s="18"/>
    </row>
    <row r="805" spans="2:2" x14ac:dyDescent="0.3">
      <c r="B805" s="18"/>
    </row>
    <row r="806" spans="2:2" x14ac:dyDescent="0.3">
      <c r="B806" s="18"/>
    </row>
    <row r="807" spans="2:2" x14ac:dyDescent="0.3">
      <c r="B807" s="18"/>
    </row>
    <row r="808" spans="2:2" x14ac:dyDescent="0.3">
      <c r="B808" s="18"/>
    </row>
    <row r="809" spans="2:2" x14ac:dyDescent="0.3">
      <c r="B809" s="18"/>
    </row>
    <row r="810" spans="2:2" x14ac:dyDescent="0.3">
      <c r="B810" s="18"/>
    </row>
    <row r="811" spans="2:2" x14ac:dyDescent="0.3">
      <c r="B811" s="18"/>
    </row>
    <row r="812" spans="2:2" x14ac:dyDescent="0.3">
      <c r="B812" s="18"/>
    </row>
    <row r="813" spans="2:2" x14ac:dyDescent="0.3">
      <c r="B813" s="18"/>
    </row>
    <row r="814" spans="2:2" x14ac:dyDescent="0.3">
      <c r="B814" s="18"/>
    </row>
    <row r="815" spans="2:2" x14ac:dyDescent="0.3">
      <c r="B815" s="18"/>
    </row>
    <row r="816" spans="2:2" x14ac:dyDescent="0.3">
      <c r="B816" s="18"/>
    </row>
    <row r="817" spans="2:2" x14ac:dyDescent="0.3">
      <c r="B817" s="18"/>
    </row>
    <row r="818" spans="2:2" x14ac:dyDescent="0.3">
      <c r="B818" s="18"/>
    </row>
    <row r="819" spans="2:2" x14ac:dyDescent="0.3">
      <c r="B819" s="18"/>
    </row>
    <row r="820" spans="2:2" x14ac:dyDescent="0.3">
      <c r="B820" s="18"/>
    </row>
    <row r="821" spans="2:2" x14ac:dyDescent="0.3">
      <c r="B821" s="18"/>
    </row>
    <row r="822" spans="2:2" x14ac:dyDescent="0.3">
      <c r="B822" s="18"/>
    </row>
    <row r="823" spans="2:2" x14ac:dyDescent="0.3">
      <c r="B823" s="18"/>
    </row>
    <row r="824" spans="2:2" x14ac:dyDescent="0.3">
      <c r="B824" s="18"/>
    </row>
    <row r="825" spans="2:2" x14ac:dyDescent="0.3">
      <c r="B825" s="18"/>
    </row>
    <row r="826" spans="2:2" x14ac:dyDescent="0.3">
      <c r="B826" s="18"/>
    </row>
    <row r="827" spans="2:2" x14ac:dyDescent="0.3">
      <c r="B827" s="18"/>
    </row>
    <row r="828" spans="2:2" x14ac:dyDescent="0.3">
      <c r="B828" s="18"/>
    </row>
    <row r="829" spans="2:2" x14ac:dyDescent="0.3">
      <c r="B829" s="18"/>
    </row>
    <row r="830" spans="2:2" x14ac:dyDescent="0.3">
      <c r="B830" s="18"/>
    </row>
    <row r="831" spans="2:2" x14ac:dyDescent="0.3">
      <c r="B831" s="18"/>
    </row>
    <row r="832" spans="2:2" x14ac:dyDescent="0.3">
      <c r="B832" s="18"/>
    </row>
    <row r="833" spans="2:2" x14ac:dyDescent="0.3">
      <c r="B833" s="18"/>
    </row>
    <row r="834" spans="2:2" x14ac:dyDescent="0.3">
      <c r="B834" s="18"/>
    </row>
    <row r="835" spans="2:2" x14ac:dyDescent="0.3">
      <c r="B835" s="18"/>
    </row>
    <row r="836" spans="2:2" x14ac:dyDescent="0.3">
      <c r="B836" s="18"/>
    </row>
    <row r="837" spans="2:2" x14ac:dyDescent="0.3">
      <c r="B837" s="18"/>
    </row>
    <row r="838" spans="2:2" x14ac:dyDescent="0.3">
      <c r="B838" s="18"/>
    </row>
    <row r="839" spans="2:2" x14ac:dyDescent="0.3">
      <c r="B839" s="18"/>
    </row>
    <row r="840" spans="2:2" x14ac:dyDescent="0.3">
      <c r="B840" s="18"/>
    </row>
    <row r="841" spans="2:2" x14ac:dyDescent="0.3">
      <c r="B841" s="18"/>
    </row>
    <row r="842" spans="2:2" x14ac:dyDescent="0.3">
      <c r="B842" s="18"/>
    </row>
    <row r="843" spans="2:2" x14ac:dyDescent="0.3">
      <c r="B843" s="18"/>
    </row>
    <row r="844" spans="2:2" x14ac:dyDescent="0.3">
      <c r="B844" s="18"/>
    </row>
    <row r="845" spans="2:2" x14ac:dyDescent="0.3">
      <c r="B845" s="18"/>
    </row>
    <row r="846" spans="2:2" x14ac:dyDescent="0.3">
      <c r="B846" s="18"/>
    </row>
    <row r="847" spans="2:2" x14ac:dyDescent="0.3">
      <c r="B847" s="18"/>
    </row>
    <row r="848" spans="2:2" x14ac:dyDescent="0.3">
      <c r="B848" s="18"/>
    </row>
    <row r="849" spans="2:2" x14ac:dyDescent="0.3">
      <c r="B849" s="18"/>
    </row>
    <row r="850" spans="2:2" x14ac:dyDescent="0.3">
      <c r="B850" s="18"/>
    </row>
    <row r="851" spans="2:2" x14ac:dyDescent="0.3">
      <c r="B851" s="18"/>
    </row>
    <row r="852" spans="2:2" x14ac:dyDescent="0.3">
      <c r="B852" s="18"/>
    </row>
    <row r="853" spans="2:2" x14ac:dyDescent="0.3">
      <c r="B853" s="18"/>
    </row>
    <row r="854" spans="2:2" x14ac:dyDescent="0.3">
      <c r="B854" s="18"/>
    </row>
    <row r="855" spans="2:2" x14ac:dyDescent="0.3">
      <c r="B855" s="18"/>
    </row>
    <row r="856" spans="2:2" x14ac:dyDescent="0.3">
      <c r="B856" s="18"/>
    </row>
    <row r="857" spans="2:2" x14ac:dyDescent="0.3">
      <c r="B857" s="18"/>
    </row>
    <row r="858" spans="2:2" x14ac:dyDescent="0.3">
      <c r="B858" s="18"/>
    </row>
    <row r="859" spans="2:2" x14ac:dyDescent="0.3">
      <c r="B859" s="18"/>
    </row>
    <row r="860" spans="2:2" x14ac:dyDescent="0.3">
      <c r="B860" s="18"/>
    </row>
    <row r="861" spans="2:2" x14ac:dyDescent="0.3">
      <c r="B861" s="18"/>
    </row>
    <row r="862" spans="2:2" x14ac:dyDescent="0.3">
      <c r="B862" s="18"/>
    </row>
    <row r="863" spans="2:2" x14ac:dyDescent="0.3">
      <c r="B863" s="18"/>
    </row>
    <row r="864" spans="2:2" x14ac:dyDescent="0.3">
      <c r="B864" s="18"/>
    </row>
    <row r="865" spans="2:2" x14ac:dyDescent="0.3">
      <c r="B865" s="18"/>
    </row>
    <row r="866" spans="2:2" x14ac:dyDescent="0.3">
      <c r="B866" s="18"/>
    </row>
    <row r="867" spans="2:2" x14ac:dyDescent="0.3">
      <c r="B867" s="18"/>
    </row>
    <row r="868" spans="2:2" x14ac:dyDescent="0.3">
      <c r="B868" s="18"/>
    </row>
    <row r="869" spans="2:2" x14ac:dyDescent="0.3">
      <c r="B869" s="18"/>
    </row>
    <row r="870" spans="2:2" x14ac:dyDescent="0.3">
      <c r="B870" s="18"/>
    </row>
    <row r="871" spans="2:2" x14ac:dyDescent="0.3">
      <c r="B871" s="18"/>
    </row>
    <row r="872" spans="2:2" x14ac:dyDescent="0.3">
      <c r="B872" s="18"/>
    </row>
    <row r="873" spans="2:2" x14ac:dyDescent="0.3">
      <c r="B873" s="18"/>
    </row>
    <row r="874" spans="2:2" x14ac:dyDescent="0.3">
      <c r="B874" s="18"/>
    </row>
    <row r="875" spans="2:2" x14ac:dyDescent="0.3">
      <c r="B875" s="18"/>
    </row>
    <row r="876" spans="2:2" x14ac:dyDescent="0.3">
      <c r="B876" s="18"/>
    </row>
    <row r="877" spans="2:2" x14ac:dyDescent="0.3">
      <c r="B877" s="18"/>
    </row>
    <row r="878" spans="2:2" x14ac:dyDescent="0.3">
      <c r="B878" s="18"/>
    </row>
    <row r="879" spans="2:2" x14ac:dyDescent="0.3">
      <c r="B879" s="18"/>
    </row>
    <row r="880" spans="2:2" x14ac:dyDescent="0.3">
      <c r="B880" s="18"/>
    </row>
    <row r="881" spans="2:2" x14ac:dyDescent="0.3">
      <c r="B881" s="18"/>
    </row>
    <row r="882" spans="2:2" x14ac:dyDescent="0.3">
      <c r="B882" s="18"/>
    </row>
    <row r="883" spans="2:2" x14ac:dyDescent="0.3">
      <c r="B883" s="18"/>
    </row>
    <row r="884" spans="2:2" x14ac:dyDescent="0.3">
      <c r="B884" s="18"/>
    </row>
    <row r="885" spans="2:2" x14ac:dyDescent="0.3">
      <c r="B885" s="18"/>
    </row>
    <row r="886" spans="2:2" x14ac:dyDescent="0.3">
      <c r="B886" s="18"/>
    </row>
    <row r="887" spans="2:2" x14ac:dyDescent="0.3">
      <c r="B887" s="18"/>
    </row>
    <row r="888" spans="2:2" x14ac:dyDescent="0.3">
      <c r="B888" s="18"/>
    </row>
    <row r="889" spans="2:2" x14ac:dyDescent="0.3">
      <c r="B889" s="18"/>
    </row>
    <row r="890" spans="2:2" x14ac:dyDescent="0.3">
      <c r="B890" s="18"/>
    </row>
    <row r="891" spans="2:2" x14ac:dyDescent="0.3">
      <c r="B891" s="18"/>
    </row>
    <row r="892" spans="2:2" x14ac:dyDescent="0.3">
      <c r="B892" s="18"/>
    </row>
    <row r="893" spans="2:2" x14ac:dyDescent="0.3">
      <c r="B893" s="18"/>
    </row>
    <row r="894" spans="2:2" x14ac:dyDescent="0.3">
      <c r="B894" s="18"/>
    </row>
    <row r="895" spans="2:2" x14ac:dyDescent="0.3">
      <c r="B895" s="18"/>
    </row>
    <row r="896" spans="2:2" x14ac:dyDescent="0.3">
      <c r="B896" s="18"/>
    </row>
    <row r="897" spans="2:2" x14ac:dyDescent="0.3">
      <c r="B897" s="18"/>
    </row>
    <row r="898" spans="2:2" x14ac:dyDescent="0.3">
      <c r="B898" s="18"/>
    </row>
    <row r="899" spans="2:2" x14ac:dyDescent="0.3">
      <c r="B899" s="18"/>
    </row>
    <row r="900" spans="2:2" x14ac:dyDescent="0.3">
      <c r="B900" s="18"/>
    </row>
    <row r="901" spans="2:2" x14ac:dyDescent="0.3">
      <c r="B901" s="18"/>
    </row>
    <row r="902" spans="2:2" x14ac:dyDescent="0.3">
      <c r="B902" s="18"/>
    </row>
    <row r="903" spans="2:2" x14ac:dyDescent="0.3">
      <c r="B903" s="18"/>
    </row>
    <row r="904" spans="2:2" x14ac:dyDescent="0.3">
      <c r="B904" s="18"/>
    </row>
    <row r="905" spans="2:2" x14ac:dyDescent="0.3">
      <c r="B905" s="18"/>
    </row>
    <row r="906" spans="2:2" x14ac:dyDescent="0.3">
      <c r="B906" s="18"/>
    </row>
    <row r="907" spans="2:2" x14ac:dyDescent="0.3">
      <c r="B907" s="18"/>
    </row>
    <row r="908" spans="2:2" x14ac:dyDescent="0.3">
      <c r="B908" s="18"/>
    </row>
    <row r="909" spans="2:2" x14ac:dyDescent="0.3">
      <c r="B909" s="18"/>
    </row>
    <row r="910" spans="2:2" x14ac:dyDescent="0.3">
      <c r="B910" s="18"/>
    </row>
    <row r="911" spans="2:2" x14ac:dyDescent="0.3">
      <c r="B911" s="18"/>
    </row>
    <row r="912" spans="2:2" x14ac:dyDescent="0.3">
      <c r="B912" s="18"/>
    </row>
    <row r="913" spans="2:2" x14ac:dyDescent="0.3">
      <c r="B913" s="18"/>
    </row>
    <row r="914" spans="2:2" x14ac:dyDescent="0.3">
      <c r="B914" s="18"/>
    </row>
    <row r="915" spans="2:2" x14ac:dyDescent="0.3">
      <c r="B915" s="18"/>
    </row>
    <row r="916" spans="2:2" x14ac:dyDescent="0.3">
      <c r="B916" s="18"/>
    </row>
    <row r="917" spans="2:2" x14ac:dyDescent="0.3">
      <c r="B917" s="18"/>
    </row>
    <row r="918" spans="2:2" x14ac:dyDescent="0.3">
      <c r="B918" s="18"/>
    </row>
    <row r="919" spans="2:2" x14ac:dyDescent="0.3">
      <c r="B919" s="18"/>
    </row>
    <row r="920" spans="2:2" x14ac:dyDescent="0.3">
      <c r="B920" s="18"/>
    </row>
    <row r="921" spans="2:2" x14ac:dyDescent="0.3">
      <c r="B921" s="18"/>
    </row>
    <row r="922" spans="2:2" x14ac:dyDescent="0.3">
      <c r="B922" s="18"/>
    </row>
    <row r="923" spans="2:2" x14ac:dyDescent="0.3">
      <c r="B923" s="18"/>
    </row>
    <row r="924" spans="2:2" x14ac:dyDescent="0.3">
      <c r="B924" s="18"/>
    </row>
    <row r="925" spans="2:2" x14ac:dyDescent="0.3">
      <c r="B925" s="18"/>
    </row>
    <row r="926" spans="2:2" x14ac:dyDescent="0.3">
      <c r="B926" s="18"/>
    </row>
    <row r="927" spans="2:2" x14ac:dyDescent="0.3">
      <c r="B927" s="18"/>
    </row>
    <row r="928" spans="2:2" x14ac:dyDescent="0.3">
      <c r="B928" s="18"/>
    </row>
    <row r="929" spans="2:2" x14ac:dyDescent="0.3">
      <c r="B929" s="18"/>
    </row>
    <row r="930" spans="2:2" x14ac:dyDescent="0.3">
      <c r="B930" s="18"/>
    </row>
    <row r="931" spans="2:2" x14ac:dyDescent="0.3">
      <c r="B931" s="18"/>
    </row>
    <row r="932" spans="2:2" x14ac:dyDescent="0.3">
      <c r="B932" s="18"/>
    </row>
    <row r="933" spans="2:2" x14ac:dyDescent="0.3">
      <c r="B933" s="18"/>
    </row>
    <row r="934" spans="2:2" x14ac:dyDescent="0.3">
      <c r="B934" s="18"/>
    </row>
    <row r="935" spans="2:2" x14ac:dyDescent="0.3">
      <c r="B935" s="18"/>
    </row>
    <row r="936" spans="2:2" x14ac:dyDescent="0.3">
      <c r="B936" s="18"/>
    </row>
    <row r="937" spans="2:2" x14ac:dyDescent="0.3">
      <c r="B937" s="18"/>
    </row>
    <row r="938" spans="2:2" x14ac:dyDescent="0.3">
      <c r="B938" s="18"/>
    </row>
    <row r="939" spans="2:2" x14ac:dyDescent="0.3">
      <c r="B939" s="18"/>
    </row>
    <row r="940" spans="2:2" x14ac:dyDescent="0.3">
      <c r="B940" s="18"/>
    </row>
  </sheetData>
  <conditionalFormatting sqref="E6:E82">
    <cfRule type="duplicateValues" dxfId="8" priority="1"/>
    <cfRule type="duplicateValues" dxfId="7" priority="51"/>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dbfcf2f-f028-4b8c-919d-1c2560ae2123">
      <Terms xmlns="http://schemas.microsoft.com/office/infopath/2007/PartnerControls"/>
    </lcf76f155ced4ddcb4097134ff3c332f>
    <TaxCatchAll xmlns="ff3eedc3-5946-4489-89df-9b2a9aff7b9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4E480CAFAE7374683E882D3617EEFA2" ma:contentTypeVersion="18" ma:contentTypeDescription="Create a new document." ma:contentTypeScope="" ma:versionID="d27037ad3b61523be20b7c0e58bab63b">
  <xsd:schema xmlns:xsd="http://www.w3.org/2001/XMLSchema" xmlns:xs="http://www.w3.org/2001/XMLSchema" xmlns:p="http://schemas.microsoft.com/office/2006/metadata/properties" xmlns:ns2="4dbfcf2f-f028-4b8c-919d-1c2560ae2123" xmlns:ns3="ff3eedc3-5946-4489-89df-9b2a9aff7b93" targetNamespace="http://schemas.microsoft.com/office/2006/metadata/properties" ma:root="true" ma:fieldsID="18b081058d5be76e6d49470473100681" ns2:_="" ns3:_="">
    <xsd:import namespace="4dbfcf2f-f028-4b8c-919d-1c2560ae2123"/>
    <xsd:import namespace="ff3eedc3-5946-4489-89df-9b2a9aff7b9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bfcf2f-f028-4b8c-919d-1c2560ae2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bccef53-05ee-4781-8163-e92669cd32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3eedc3-5946-4489-89df-9b2a9aff7b93"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7328ef7-7af5-4c73-a186-60732c4e7e20}" ma:internalName="TaxCatchAll" ma:showField="CatchAllData" ma:web="ff3eedc3-5946-4489-89df-9b2a9aff7b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8E40A1-0254-4E49-A82A-22AF2ADF8869}">
  <ds:schemaRefs>
    <ds:schemaRef ds:uri="http://schemas.microsoft.com/DataMashup"/>
  </ds:schemaRefs>
</ds:datastoreItem>
</file>

<file path=customXml/itemProps2.xml><?xml version="1.0" encoding="utf-8"?>
<ds:datastoreItem xmlns:ds="http://schemas.openxmlformats.org/officeDocument/2006/customXml" ds:itemID="{ED8EE687-BDD0-4FC9-89AC-8ED26C0813F2}">
  <ds:schemaRefs>
    <ds:schemaRef ds:uri="http://schemas.microsoft.com/sharepoint/v3/contenttype/forms"/>
  </ds:schemaRefs>
</ds:datastoreItem>
</file>

<file path=customXml/itemProps3.xml><?xml version="1.0" encoding="utf-8"?>
<ds:datastoreItem xmlns:ds="http://schemas.openxmlformats.org/officeDocument/2006/customXml" ds:itemID="{027C257A-0080-47BC-A11E-4FD05D0B7A05}">
  <ds:schemaRefs>
    <ds:schemaRef ds:uri="http://schemas.microsoft.com/office/2006/metadata/properties"/>
    <ds:schemaRef ds:uri="http://schemas.microsoft.com/office/infopath/2007/PartnerControls"/>
    <ds:schemaRef ds:uri="4dbfcf2f-f028-4b8c-919d-1c2560ae2123"/>
    <ds:schemaRef ds:uri="ff3eedc3-5946-4489-89df-9b2a9aff7b93"/>
  </ds:schemaRefs>
</ds:datastoreItem>
</file>

<file path=customXml/itemProps4.xml><?xml version="1.0" encoding="utf-8"?>
<ds:datastoreItem xmlns:ds="http://schemas.openxmlformats.org/officeDocument/2006/customXml" ds:itemID="{FAAF7006-6DA0-4118-A607-E1D4470CE9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bfcf2f-f028-4b8c-919d-1c2560ae2123"/>
    <ds:schemaRef ds:uri="ff3eedc3-5946-4489-89df-9b2a9aff7b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Waseem Massas</cp:lastModifiedBy>
  <dcterms:created xsi:type="dcterms:W3CDTF">2022-09-02T08:48:25Z</dcterms:created>
  <dcterms:modified xsi:type="dcterms:W3CDTF">2024-11-07T10:28:20Z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0x01010044E480CAFAE7374683E882D3617EEFA2</vt:lpwstr>
  </property>
  <property fmtid="{D5CDD505-2E9C-101B-9397-08002B2CF9AE}" pid="3" name="MediaServiceImageTags">
    <vt:lpwstr/>
  </property>
</Properties>
</file>